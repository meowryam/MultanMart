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1_{C9B22260-7904-4443-AE7F-E8F6785D8D55}" xr6:coauthVersionLast="47" xr6:coauthVersionMax="47" xr10:uidLastSave="{00000000-0000-0000-0000-000000000000}"/>
  <bookViews>
    <workbookView xWindow="-110" yWindow="-110" windowWidth="19420" windowHeight="10300" activeTab="1" xr2:uid="{00000000-000D-0000-FFFF-FFFF00000000}"/>
  </bookViews>
  <sheets>
    <sheet name="stock_in_hand" sheetId="1" r:id="rId1"/>
    <sheet name="PIVOT TABLE" sheetId="4" r:id="rId2"/>
    <sheet name="stock_in_hand (2)" sheetId="3" r:id="rId3"/>
  </sheets>
  <definedNames>
    <definedName name="_xlnm._FilterDatabase" localSheetId="0" hidden="1">stock_in_hand!$A$11:$L$829</definedName>
    <definedName name="_xlnm._FilterDatabase" localSheetId="2" hidden="1">'stock_in_hand (2)'!$A$11:$M$465</definedName>
    <definedName name="Slicer_Compan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3" i="3" l="1"/>
  <c r="K183" i="3"/>
  <c r="L183" i="3"/>
  <c r="K284" i="3"/>
  <c r="L284" i="3"/>
  <c r="M284" i="3"/>
  <c r="M283" i="3" l="1"/>
  <c r="L283" i="3"/>
  <c r="K283" i="3"/>
  <c r="M282" i="3"/>
  <c r="L282" i="3"/>
  <c r="K282" i="3"/>
  <c r="M281" i="3"/>
  <c r="L281" i="3"/>
  <c r="K281" i="3"/>
  <c r="M273" i="3"/>
  <c r="L273" i="3"/>
  <c r="K273" i="3"/>
  <c r="M274" i="3"/>
  <c r="L274" i="3"/>
  <c r="K274" i="3"/>
  <c r="M275" i="3"/>
  <c r="L275" i="3"/>
  <c r="K275" i="3"/>
  <c r="M276" i="3"/>
  <c r="L276" i="3"/>
  <c r="K276" i="3"/>
  <c r="M272" i="3"/>
  <c r="L272" i="3"/>
  <c r="K272" i="3"/>
  <c r="M271" i="3"/>
  <c r="L271" i="3"/>
  <c r="K271" i="3"/>
  <c r="M270" i="3"/>
  <c r="L270" i="3"/>
  <c r="K270" i="3"/>
  <c r="M277" i="3"/>
  <c r="L277" i="3"/>
  <c r="K277" i="3"/>
  <c r="M278" i="3"/>
  <c r="L278" i="3"/>
  <c r="K278" i="3"/>
  <c r="M269" i="3"/>
  <c r="L269" i="3"/>
  <c r="K269" i="3"/>
  <c r="M338" i="3" l="1"/>
  <c r="L338" i="3"/>
  <c r="K338" i="3"/>
  <c r="M337" i="3"/>
  <c r="L337" i="3"/>
  <c r="K337" i="3"/>
  <c r="M433" i="3"/>
  <c r="L433" i="3"/>
  <c r="K433" i="3"/>
  <c r="M426" i="3"/>
  <c r="L426" i="3"/>
  <c r="K426" i="3"/>
  <c r="M425" i="3"/>
  <c r="L425" i="3"/>
  <c r="K425" i="3"/>
  <c r="K427" i="3"/>
  <c r="L427" i="3"/>
  <c r="M427" i="3"/>
  <c r="M322" i="3"/>
  <c r="L322" i="3"/>
  <c r="K322" i="3"/>
  <c r="M331" i="3"/>
  <c r="L331" i="3"/>
  <c r="K331" i="3"/>
  <c r="M330" i="3"/>
  <c r="L330" i="3"/>
  <c r="K330" i="3"/>
  <c r="M304" i="3"/>
  <c r="L304" i="3"/>
  <c r="K304" i="3"/>
  <c r="M303" i="3"/>
  <c r="L303" i="3"/>
  <c r="K303" i="3"/>
  <c r="K372" i="3" l="1"/>
  <c r="L372" i="3"/>
  <c r="M372" i="3"/>
  <c r="M464" i="3"/>
  <c r="L464" i="3"/>
  <c r="K464" i="3"/>
  <c r="M463" i="3"/>
  <c r="L463" i="3"/>
  <c r="K463" i="3"/>
  <c r="M462" i="3"/>
  <c r="L462" i="3"/>
  <c r="K462" i="3"/>
  <c r="M461" i="3"/>
  <c r="L461" i="3"/>
  <c r="K461" i="3"/>
  <c r="M460" i="3"/>
  <c r="L460" i="3"/>
  <c r="K460" i="3"/>
  <c r="M459" i="3"/>
  <c r="L459" i="3"/>
  <c r="K459" i="3"/>
  <c r="M458" i="3"/>
  <c r="L458" i="3"/>
  <c r="K458" i="3"/>
  <c r="M457" i="3"/>
  <c r="L457" i="3"/>
  <c r="K457" i="3"/>
  <c r="M456" i="3"/>
  <c r="L456" i="3"/>
  <c r="K456" i="3"/>
  <c r="M455" i="3"/>
  <c r="L455" i="3"/>
  <c r="K455" i="3"/>
  <c r="M454" i="3"/>
  <c r="L454" i="3"/>
  <c r="K454" i="3"/>
  <c r="M453" i="3"/>
  <c r="L453" i="3"/>
  <c r="K453" i="3"/>
  <c r="M452" i="3"/>
  <c r="L452" i="3"/>
  <c r="K452" i="3"/>
  <c r="M451" i="3"/>
  <c r="L451" i="3"/>
  <c r="K451" i="3"/>
  <c r="M450" i="3"/>
  <c r="L450" i="3"/>
  <c r="K450" i="3"/>
  <c r="M449" i="3"/>
  <c r="L449" i="3"/>
  <c r="K449" i="3"/>
  <c r="M448" i="3"/>
  <c r="L448" i="3"/>
  <c r="K448" i="3"/>
  <c r="M447" i="3"/>
  <c r="L447" i="3"/>
  <c r="K447" i="3"/>
  <c r="M446" i="3"/>
  <c r="L446" i="3"/>
  <c r="K446" i="3"/>
  <c r="M445" i="3"/>
  <c r="L445" i="3"/>
  <c r="K445" i="3"/>
  <c r="M444" i="3"/>
  <c r="L444" i="3"/>
  <c r="K444" i="3"/>
  <c r="M443" i="3"/>
  <c r="L443" i="3"/>
  <c r="K443" i="3"/>
  <c r="M442" i="3"/>
  <c r="L442" i="3"/>
  <c r="K442" i="3"/>
  <c r="M441" i="3"/>
  <c r="L441" i="3"/>
  <c r="K441" i="3"/>
  <c r="M440" i="3"/>
  <c r="L440" i="3"/>
  <c r="K440" i="3"/>
  <c r="M439" i="3"/>
  <c r="L439" i="3"/>
  <c r="K439" i="3"/>
  <c r="M438" i="3"/>
  <c r="L438" i="3"/>
  <c r="K438" i="3"/>
  <c r="M437" i="3"/>
  <c r="L437" i="3"/>
  <c r="K437" i="3"/>
  <c r="M436" i="3"/>
  <c r="L436" i="3"/>
  <c r="K436" i="3"/>
  <c r="M435" i="3"/>
  <c r="L435" i="3"/>
  <c r="K435" i="3"/>
  <c r="M421" i="3"/>
  <c r="L421" i="3"/>
  <c r="K421" i="3"/>
  <c r="M420" i="3"/>
  <c r="L420" i="3"/>
  <c r="K420" i="3"/>
  <c r="M419" i="3"/>
  <c r="L419" i="3"/>
  <c r="K419" i="3"/>
  <c r="M432" i="3"/>
  <c r="L432" i="3"/>
  <c r="K432" i="3"/>
  <c r="M399" i="3"/>
  <c r="L399" i="3"/>
  <c r="K399" i="3"/>
  <c r="M418" i="3"/>
  <c r="L418" i="3"/>
  <c r="K418" i="3"/>
  <c r="M417" i="3"/>
  <c r="L417" i="3"/>
  <c r="K417" i="3"/>
  <c r="M398" i="3"/>
  <c r="L398" i="3"/>
  <c r="K398" i="3"/>
  <c r="M424" i="3"/>
  <c r="L424" i="3"/>
  <c r="K424" i="3"/>
  <c r="M423" i="3"/>
  <c r="L423" i="3"/>
  <c r="K423" i="3"/>
  <c r="M422" i="3"/>
  <c r="L422" i="3"/>
  <c r="K422" i="3"/>
  <c r="M400" i="3"/>
  <c r="L400" i="3"/>
  <c r="K400" i="3"/>
  <c r="M414" i="3"/>
  <c r="L414" i="3"/>
  <c r="K414" i="3"/>
  <c r="M431" i="3"/>
  <c r="L431" i="3"/>
  <c r="K431" i="3"/>
  <c r="M413" i="3"/>
  <c r="L413" i="3"/>
  <c r="K413" i="3"/>
  <c r="M430" i="3"/>
  <c r="L430" i="3"/>
  <c r="K430" i="3"/>
  <c r="M397" i="3"/>
  <c r="L397" i="3"/>
  <c r="K397" i="3"/>
  <c r="M412" i="3"/>
  <c r="L412" i="3"/>
  <c r="K412" i="3"/>
  <c r="M411" i="3"/>
  <c r="L411" i="3"/>
  <c r="K411" i="3"/>
  <c r="M429" i="3"/>
  <c r="L429" i="3"/>
  <c r="K429" i="3"/>
  <c r="M428" i="3"/>
  <c r="L428" i="3"/>
  <c r="K428" i="3"/>
  <c r="M396" i="3"/>
  <c r="L396" i="3"/>
  <c r="K396" i="3"/>
  <c r="M416" i="3"/>
  <c r="L416" i="3"/>
  <c r="K416" i="3"/>
  <c r="M410" i="3"/>
  <c r="L410" i="3"/>
  <c r="K410" i="3"/>
  <c r="M409" i="3"/>
  <c r="L409" i="3"/>
  <c r="K409" i="3"/>
  <c r="M408" i="3"/>
  <c r="L408" i="3"/>
  <c r="K408" i="3"/>
  <c r="M407" i="3"/>
  <c r="L407" i="3"/>
  <c r="K407" i="3"/>
  <c r="M406" i="3"/>
  <c r="L406" i="3"/>
  <c r="K406" i="3"/>
  <c r="M405" i="3"/>
  <c r="L405" i="3"/>
  <c r="K405" i="3"/>
  <c r="M404" i="3"/>
  <c r="L404" i="3"/>
  <c r="K404" i="3"/>
  <c r="M395" i="3"/>
  <c r="L395" i="3"/>
  <c r="K395" i="3"/>
  <c r="M403" i="3"/>
  <c r="L403" i="3"/>
  <c r="K403" i="3"/>
  <c r="M402" i="3"/>
  <c r="L402" i="3"/>
  <c r="K402" i="3"/>
  <c r="M434" i="3"/>
  <c r="L434" i="3"/>
  <c r="K434" i="3"/>
  <c r="M415" i="3"/>
  <c r="L415" i="3"/>
  <c r="K415" i="3"/>
  <c r="M401" i="3"/>
  <c r="L401" i="3"/>
  <c r="K401" i="3"/>
  <c r="M394" i="3"/>
  <c r="L394" i="3"/>
  <c r="K394" i="3"/>
  <c r="M393" i="3"/>
  <c r="L393" i="3"/>
  <c r="K393" i="3"/>
  <c r="M392" i="3"/>
  <c r="L392" i="3"/>
  <c r="K392" i="3"/>
  <c r="M391" i="3"/>
  <c r="L391" i="3"/>
  <c r="K391" i="3"/>
  <c r="M390" i="3"/>
  <c r="L390" i="3"/>
  <c r="K390" i="3"/>
  <c r="M389" i="3"/>
  <c r="L389" i="3"/>
  <c r="K389" i="3"/>
  <c r="M388" i="3"/>
  <c r="L388" i="3"/>
  <c r="K388" i="3"/>
  <c r="M387" i="3"/>
  <c r="L387" i="3"/>
  <c r="K387" i="3"/>
  <c r="M386" i="3"/>
  <c r="L386" i="3"/>
  <c r="K386" i="3"/>
  <c r="M385" i="3"/>
  <c r="L385" i="3"/>
  <c r="K385" i="3"/>
  <c r="M384" i="3"/>
  <c r="L384" i="3"/>
  <c r="K384" i="3"/>
  <c r="M383" i="3"/>
  <c r="L383" i="3"/>
  <c r="K383" i="3"/>
  <c r="M382" i="3"/>
  <c r="L382" i="3"/>
  <c r="K382" i="3"/>
  <c r="M381" i="3"/>
  <c r="L381" i="3"/>
  <c r="K381" i="3"/>
  <c r="M380" i="3"/>
  <c r="L380" i="3"/>
  <c r="K380" i="3"/>
  <c r="M379" i="3"/>
  <c r="L379" i="3"/>
  <c r="K379" i="3"/>
  <c r="M378" i="3"/>
  <c r="L378" i="3"/>
  <c r="K378" i="3"/>
  <c r="M377" i="3"/>
  <c r="L377" i="3"/>
  <c r="K377" i="3"/>
  <c r="M376" i="3"/>
  <c r="L376" i="3"/>
  <c r="K376" i="3"/>
  <c r="M375" i="3"/>
  <c r="L375" i="3"/>
  <c r="K375" i="3"/>
  <c r="M374" i="3"/>
  <c r="L374" i="3"/>
  <c r="K374" i="3"/>
  <c r="M373" i="3"/>
  <c r="L373" i="3"/>
  <c r="K373" i="3"/>
  <c r="M371" i="3"/>
  <c r="L371" i="3"/>
  <c r="K371" i="3"/>
  <c r="M370" i="3"/>
  <c r="L370" i="3"/>
  <c r="K370" i="3"/>
  <c r="M369" i="3"/>
  <c r="L369" i="3"/>
  <c r="K369" i="3"/>
  <c r="M368" i="3"/>
  <c r="L368" i="3"/>
  <c r="K368" i="3"/>
  <c r="M367" i="3"/>
  <c r="L367" i="3"/>
  <c r="K367" i="3"/>
  <c r="M366" i="3"/>
  <c r="L366" i="3"/>
  <c r="K366" i="3"/>
  <c r="M365" i="3"/>
  <c r="L365" i="3"/>
  <c r="K365" i="3"/>
  <c r="M364" i="3"/>
  <c r="L364" i="3"/>
  <c r="K364" i="3"/>
  <c r="M363" i="3"/>
  <c r="L363" i="3"/>
  <c r="K363" i="3"/>
  <c r="M362" i="3"/>
  <c r="L362" i="3"/>
  <c r="K362" i="3"/>
  <c r="M361" i="3"/>
  <c r="L361" i="3"/>
  <c r="K361" i="3"/>
  <c r="M360" i="3"/>
  <c r="L360" i="3"/>
  <c r="K360" i="3"/>
  <c r="M359" i="3"/>
  <c r="L359" i="3"/>
  <c r="K359" i="3"/>
  <c r="M358" i="3"/>
  <c r="L358" i="3"/>
  <c r="K358" i="3"/>
  <c r="M357" i="3"/>
  <c r="L357" i="3"/>
  <c r="K357" i="3"/>
  <c r="M356" i="3"/>
  <c r="L356" i="3"/>
  <c r="K356" i="3"/>
  <c r="M355" i="3"/>
  <c r="L355" i="3"/>
  <c r="K355" i="3"/>
  <c r="M354" i="3"/>
  <c r="L354" i="3"/>
  <c r="K354" i="3"/>
  <c r="M353" i="3"/>
  <c r="L353" i="3"/>
  <c r="K353" i="3"/>
  <c r="M352" i="3"/>
  <c r="L352" i="3"/>
  <c r="K352" i="3"/>
  <c r="M351" i="3"/>
  <c r="L351" i="3"/>
  <c r="K351" i="3"/>
  <c r="M350" i="3"/>
  <c r="L350" i="3"/>
  <c r="K350" i="3"/>
  <c r="M349" i="3"/>
  <c r="L349" i="3"/>
  <c r="K349" i="3"/>
  <c r="M348" i="3"/>
  <c r="L348" i="3"/>
  <c r="K348" i="3"/>
  <c r="M347" i="3"/>
  <c r="L347" i="3"/>
  <c r="K347" i="3"/>
  <c r="M346" i="3"/>
  <c r="L346" i="3"/>
  <c r="K346" i="3"/>
  <c r="M345" i="3"/>
  <c r="L345" i="3"/>
  <c r="K345" i="3"/>
  <c r="M344" i="3"/>
  <c r="L344" i="3"/>
  <c r="K344" i="3"/>
  <c r="M343" i="3"/>
  <c r="L343" i="3"/>
  <c r="K343" i="3"/>
  <c r="M342" i="3"/>
  <c r="L342" i="3"/>
  <c r="K342" i="3"/>
  <c r="M341" i="3"/>
  <c r="L341" i="3"/>
  <c r="K341" i="3"/>
  <c r="M340" i="3"/>
  <c r="L340" i="3"/>
  <c r="K340" i="3"/>
  <c r="M339" i="3"/>
  <c r="L339" i="3"/>
  <c r="K339" i="3"/>
  <c r="M336" i="3"/>
  <c r="L336" i="3"/>
  <c r="K336" i="3"/>
  <c r="M335" i="3"/>
  <c r="L335" i="3"/>
  <c r="K335" i="3"/>
  <c r="M334" i="3"/>
  <c r="L334" i="3"/>
  <c r="K334" i="3"/>
  <c r="M333" i="3"/>
  <c r="L333" i="3"/>
  <c r="K333" i="3"/>
  <c r="M332" i="3"/>
  <c r="L332" i="3"/>
  <c r="K332" i="3"/>
  <c r="M329" i="3"/>
  <c r="L329" i="3"/>
  <c r="K329" i="3"/>
  <c r="M328" i="3"/>
  <c r="L328" i="3"/>
  <c r="K328" i="3"/>
  <c r="M327" i="3"/>
  <c r="L327" i="3"/>
  <c r="K327" i="3"/>
  <c r="M326" i="3"/>
  <c r="L326" i="3"/>
  <c r="K326" i="3"/>
  <c r="M325" i="3"/>
  <c r="L325" i="3"/>
  <c r="K325" i="3"/>
  <c r="M324" i="3"/>
  <c r="L324" i="3"/>
  <c r="K324" i="3"/>
  <c r="M323" i="3"/>
  <c r="L323" i="3"/>
  <c r="K323" i="3"/>
  <c r="M321" i="3"/>
  <c r="L321" i="3"/>
  <c r="K321" i="3"/>
  <c r="M320" i="3"/>
  <c r="L320" i="3"/>
  <c r="K320" i="3"/>
  <c r="M319" i="3"/>
  <c r="L319" i="3"/>
  <c r="K319" i="3"/>
  <c r="M318" i="3"/>
  <c r="L318" i="3"/>
  <c r="K318" i="3"/>
  <c r="M317" i="3"/>
  <c r="L317" i="3"/>
  <c r="K317" i="3"/>
  <c r="M316" i="3"/>
  <c r="L316" i="3"/>
  <c r="K316" i="3"/>
  <c r="M315" i="3"/>
  <c r="L315" i="3"/>
  <c r="K315" i="3"/>
  <c r="M314" i="3"/>
  <c r="L314" i="3"/>
  <c r="K314" i="3"/>
  <c r="M313" i="3"/>
  <c r="L313" i="3"/>
  <c r="K313" i="3"/>
  <c r="M312" i="3"/>
  <c r="L312" i="3"/>
  <c r="K312" i="3"/>
  <c r="M311" i="3"/>
  <c r="L311" i="3"/>
  <c r="K311" i="3"/>
  <c r="M310" i="3"/>
  <c r="L310" i="3"/>
  <c r="K310" i="3"/>
  <c r="M309" i="3"/>
  <c r="L309" i="3"/>
  <c r="K309" i="3"/>
  <c r="M308" i="3"/>
  <c r="L308" i="3"/>
  <c r="K308" i="3"/>
  <c r="M307" i="3"/>
  <c r="L307" i="3"/>
  <c r="K307" i="3"/>
  <c r="M306" i="3"/>
  <c r="L306" i="3"/>
  <c r="K306" i="3"/>
  <c r="M305" i="3"/>
  <c r="L305" i="3"/>
  <c r="K305" i="3"/>
  <c r="M302" i="3"/>
  <c r="L302" i="3"/>
  <c r="K302" i="3"/>
  <c r="M301" i="3"/>
  <c r="L301" i="3"/>
  <c r="K301" i="3"/>
  <c r="M300" i="3"/>
  <c r="L300" i="3"/>
  <c r="K300" i="3"/>
  <c r="M299" i="3"/>
  <c r="L299" i="3"/>
  <c r="K299" i="3"/>
  <c r="M298" i="3"/>
  <c r="L298" i="3"/>
  <c r="K298" i="3"/>
  <c r="M297" i="3"/>
  <c r="L297" i="3"/>
  <c r="K297" i="3"/>
  <c r="M296" i="3"/>
  <c r="L296" i="3"/>
  <c r="K296" i="3"/>
  <c r="M295" i="3"/>
  <c r="L295" i="3"/>
  <c r="K295" i="3"/>
  <c r="M294" i="3"/>
  <c r="L294" i="3"/>
  <c r="K294" i="3"/>
  <c r="M293" i="3"/>
  <c r="L293" i="3"/>
  <c r="K293" i="3"/>
  <c r="M292" i="3"/>
  <c r="L292" i="3"/>
  <c r="K292" i="3"/>
  <c r="M291" i="3"/>
  <c r="L291" i="3"/>
  <c r="K291" i="3"/>
  <c r="M290" i="3"/>
  <c r="L290" i="3"/>
  <c r="K290" i="3"/>
  <c r="M289" i="3"/>
  <c r="L289" i="3"/>
  <c r="K289" i="3"/>
  <c r="M288" i="3"/>
  <c r="L288" i="3"/>
  <c r="K288" i="3"/>
  <c r="M287" i="3"/>
  <c r="L287" i="3"/>
  <c r="K287" i="3"/>
  <c r="M286" i="3"/>
  <c r="L286" i="3"/>
  <c r="K286" i="3"/>
  <c r="M285" i="3"/>
  <c r="L285" i="3"/>
  <c r="K285" i="3"/>
  <c r="M217" i="3"/>
  <c r="L217" i="3"/>
  <c r="K217" i="3"/>
  <c r="M280" i="3"/>
  <c r="L280" i="3"/>
  <c r="K280" i="3"/>
  <c r="M279" i="3"/>
  <c r="L279" i="3"/>
  <c r="K279" i="3"/>
  <c r="M268" i="3"/>
  <c r="L268" i="3"/>
  <c r="K268" i="3"/>
  <c r="M267" i="3"/>
  <c r="L267" i="3"/>
  <c r="K267" i="3"/>
  <c r="M266" i="3"/>
  <c r="L266" i="3"/>
  <c r="K266" i="3"/>
  <c r="M265" i="3"/>
  <c r="L265" i="3"/>
  <c r="K265" i="3"/>
  <c r="M264" i="3"/>
  <c r="L264" i="3"/>
  <c r="K264" i="3"/>
  <c r="M263" i="3"/>
  <c r="L263" i="3"/>
  <c r="K263" i="3"/>
  <c r="M262" i="3"/>
  <c r="L262" i="3"/>
  <c r="K262" i="3"/>
  <c r="M261" i="3"/>
  <c r="L261" i="3"/>
  <c r="K261" i="3"/>
  <c r="M260" i="3"/>
  <c r="L260" i="3"/>
  <c r="K260" i="3"/>
  <c r="M259" i="3"/>
  <c r="L259" i="3"/>
  <c r="K259" i="3"/>
  <c r="M258" i="3"/>
  <c r="L258" i="3"/>
  <c r="K258" i="3"/>
  <c r="M257" i="3"/>
  <c r="L257" i="3"/>
  <c r="K257" i="3"/>
  <c r="M256" i="3"/>
  <c r="L256" i="3"/>
  <c r="K256" i="3"/>
  <c r="M255" i="3"/>
  <c r="L255" i="3"/>
  <c r="K255" i="3"/>
  <c r="M254" i="3"/>
  <c r="L254" i="3"/>
  <c r="K254" i="3"/>
  <c r="M253" i="3"/>
  <c r="L253" i="3"/>
  <c r="K253" i="3"/>
  <c r="M252" i="3"/>
  <c r="L252" i="3"/>
  <c r="K252" i="3"/>
  <c r="M251" i="3"/>
  <c r="L251" i="3"/>
  <c r="K251" i="3"/>
  <c r="M250" i="3"/>
  <c r="L250" i="3"/>
  <c r="K250" i="3"/>
  <c r="M249" i="3"/>
  <c r="L249" i="3"/>
  <c r="K249" i="3"/>
  <c r="M248" i="3"/>
  <c r="L248" i="3"/>
  <c r="K248" i="3"/>
  <c r="M247" i="3"/>
  <c r="L247" i="3"/>
  <c r="K247" i="3"/>
  <c r="M246" i="3"/>
  <c r="L246" i="3"/>
  <c r="K246" i="3"/>
  <c r="M245" i="3"/>
  <c r="L245" i="3"/>
  <c r="K245" i="3"/>
  <c r="M244" i="3"/>
  <c r="L244" i="3"/>
  <c r="K244" i="3"/>
  <c r="M243" i="3"/>
  <c r="L243" i="3"/>
  <c r="K243" i="3"/>
  <c r="M242" i="3"/>
  <c r="L242" i="3"/>
  <c r="K242" i="3"/>
  <c r="M221" i="3"/>
  <c r="L221" i="3"/>
  <c r="K221" i="3"/>
  <c r="M216" i="3"/>
  <c r="L216" i="3"/>
  <c r="K216" i="3"/>
  <c r="M241" i="3"/>
  <c r="L241" i="3"/>
  <c r="K241" i="3"/>
  <c r="M240" i="3"/>
  <c r="L240" i="3"/>
  <c r="K240" i="3"/>
  <c r="M239" i="3"/>
  <c r="L239" i="3"/>
  <c r="K239" i="3"/>
  <c r="M238" i="3"/>
  <c r="L238" i="3"/>
  <c r="K238" i="3"/>
  <c r="M237" i="3"/>
  <c r="L237" i="3"/>
  <c r="K237" i="3"/>
  <c r="M236" i="3"/>
  <c r="L236" i="3"/>
  <c r="K236" i="3"/>
  <c r="M235" i="3"/>
  <c r="L235" i="3"/>
  <c r="K235" i="3"/>
  <c r="M234" i="3"/>
  <c r="L234" i="3"/>
  <c r="K234" i="3"/>
  <c r="M233" i="3"/>
  <c r="L233" i="3"/>
  <c r="K233" i="3"/>
  <c r="M232" i="3"/>
  <c r="L232" i="3"/>
  <c r="K232" i="3"/>
  <c r="M231" i="3"/>
  <c r="L231" i="3"/>
  <c r="K231" i="3"/>
  <c r="M230" i="3"/>
  <c r="L230" i="3"/>
  <c r="K230" i="3"/>
  <c r="M229" i="3"/>
  <c r="L229" i="3"/>
  <c r="K229" i="3"/>
  <c r="M228" i="3"/>
  <c r="L228" i="3"/>
  <c r="K228" i="3"/>
  <c r="M214" i="3"/>
  <c r="L214" i="3"/>
  <c r="K214" i="3"/>
  <c r="M212" i="3"/>
  <c r="L212" i="3"/>
  <c r="K212" i="3"/>
  <c r="M215" i="3"/>
  <c r="L215" i="3"/>
  <c r="K215" i="3"/>
  <c r="M227" i="3"/>
  <c r="L227" i="3"/>
  <c r="K227" i="3"/>
  <c r="M226" i="3"/>
  <c r="L226" i="3"/>
  <c r="K226" i="3"/>
  <c r="M225" i="3"/>
  <c r="L225" i="3"/>
  <c r="K225" i="3"/>
  <c r="M224" i="3"/>
  <c r="L224" i="3"/>
  <c r="K224" i="3"/>
  <c r="M220" i="3"/>
  <c r="L220" i="3"/>
  <c r="K220" i="3"/>
  <c r="M223" i="3"/>
  <c r="L223" i="3"/>
  <c r="K223" i="3"/>
  <c r="M222" i="3"/>
  <c r="L222" i="3"/>
  <c r="K222" i="3"/>
  <c r="M213" i="3"/>
  <c r="L213" i="3"/>
  <c r="K213" i="3"/>
  <c r="M218" i="3"/>
  <c r="L218" i="3"/>
  <c r="K218" i="3"/>
  <c r="M219" i="3"/>
  <c r="L219" i="3"/>
  <c r="K219" i="3"/>
  <c r="M211" i="3"/>
  <c r="L211" i="3"/>
  <c r="K211" i="3"/>
  <c r="M210" i="3"/>
  <c r="L210" i="3"/>
  <c r="K210" i="3"/>
  <c r="M209" i="3"/>
  <c r="L209" i="3"/>
  <c r="K209" i="3"/>
  <c r="M208" i="3"/>
  <c r="L208" i="3"/>
  <c r="K208" i="3"/>
  <c r="M207" i="3"/>
  <c r="L207" i="3"/>
  <c r="K207" i="3"/>
  <c r="M206" i="3"/>
  <c r="L206" i="3"/>
  <c r="K206" i="3"/>
  <c r="M205" i="3"/>
  <c r="L205" i="3"/>
  <c r="K205" i="3"/>
  <c r="M204" i="3"/>
  <c r="L204" i="3"/>
  <c r="K204" i="3"/>
  <c r="M203" i="3"/>
  <c r="L203" i="3"/>
  <c r="K203" i="3"/>
  <c r="M202" i="3"/>
  <c r="L202" i="3"/>
  <c r="K202" i="3"/>
  <c r="M201" i="3"/>
  <c r="L201" i="3"/>
  <c r="K201" i="3"/>
  <c r="M200" i="3"/>
  <c r="L200" i="3"/>
  <c r="K200" i="3"/>
  <c r="M199" i="3"/>
  <c r="L199" i="3"/>
  <c r="K199" i="3"/>
  <c r="M198" i="3"/>
  <c r="L198" i="3"/>
  <c r="K198" i="3"/>
  <c r="M197" i="3"/>
  <c r="L197" i="3"/>
  <c r="K197" i="3"/>
  <c r="M196" i="3"/>
  <c r="L196" i="3"/>
  <c r="K196" i="3"/>
  <c r="M195" i="3"/>
  <c r="L195" i="3"/>
  <c r="K195" i="3"/>
  <c r="M194" i="3"/>
  <c r="L194" i="3"/>
  <c r="K194" i="3"/>
  <c r="M193" i="3"/>
  <c r="L193" i="3"/>
  <c r="K193" i="3"/>
  <c r="M192" i="3"/>
  <c r="L192" i="3"/>
  <c r="K192" i="3"/>
  <c r="M191" i="3"/>
  <c r="L191" i="3"/>
  <c r="K191" i="3"/>
  <c r="M190" i="3"/>
  <c r="L190" i="3"/>
  <c r="K190" i="3"/>
  <c r="M189" i="3"/>
  <c r="L189" i="3"/>
  <c r="K189" i="3"/>
  <c r="M188" i="3"/>
  <c r="L188" i="3"/>
  <c r="K188" i="3"/>
  <c r="M187" i="3"/>
  <c r="L187" i="3"/>
  <c r="K187" i="3"/>
  <c r="M186" i="3"/>
  <c r="L186" i="3"/>
  <c r="K186" i="3"/>
  <c r="M185" i="3"/>
  <c r="L185" i="3"/>
  <c r="K185" i="3"/>
  <c r="M184" i="3"/>
  <c r="L184" i="3"/>
  <c r="K184" i="3"/>
  <c r="M182" i="3"/>
  <c r="L182" i="3"/>
  <c r="K182" i="3"/>
  <c r="M181" i="3"/>
  <c r="L181" i="3"/>
  <c r="K181" i="3"/>
  <c r="M180" i="3"/>
  <c r="L180" i="3"/>
  <c r="K180" i="3"/>
  <c r="M179" i="3"/>
  <c r="L179" i="3"/>
  <c r="K179" i="3"/>
  <c r="M178" i="3"/>
  <c r="L178" i="3"/>
  <c r="K178" i="3"/>
  <c r="M177" i="3"/>
  <c r="L177" i="3"/>
  <c r="K177" i="3"/>
  <c r="M176" i="3"/>
  <c r="L176" i="3"/>
  <c r="K176" i="3"/>
  <c r="M175" i="3"/>
  <c r="L175" i="3"/>
  <c r="K175" i="3"/>
  <c r="M174" i="3"/>
  <c r="L174" i="3"/>
  <c r="K174" i="3"/>
  <c r="M173" i="3"/>
  <c r="L173" i="3"/>
  <c r="K173" i="3"/>
  <c r="M172" i="3"/>
  <c r="L172" i="3"/>
  <c r="K172" i="3"/>
  <c r="M171" i="3"/>
  <c r="L171" i="3"/>
  <c r="K171" i="3"/>
  <c r="M170" i="3"/>
  <c r="L170" i="3"/>
  <c r="K170" i="3"/>
  <c r="M169" i="3"/>
  <c r="L169" i="3"/>
  <c r="K169" i="3"/>
  <c r="M168" i="3"/>
  <c r="L168" i="3"/>
  <c r="K168" i="3"/>
  <c r="M167" i="3"/>
  <c r="L167" i="3"/>
  <c r="K167" i="3"/>
  <c r="M166" i="3"/>
  <c r="L166" i="3"/>
  <c r="K166" i="3"/>
  <c r="M165" i="3"/>
  <c r="L165" i="3"/>
  <c r="K165" i="3"/>
  <c r="M164" i="3"/>
  <c r="L164" i="3"/>
  <c r="K164" i="3"/>
  <c r="M163" i="3"/>
  <c r="L163" i="3"/>
  <c r="K163" i="3"/>
  <c r="M162" i="3"/>
  <c r="L162" i="3"/>
  <c r="K162" i="3"/>
  <c r="M161" i="3"/>
  <c r="L161" i="3"/>
  <c r="K161" i="3"/>
  <c r="M160" i="3"/>
  <c r="L160" i="3"/>
  <c r="K160" i="3"/>
  <c r="M159" i="3"/>
  <c r="L159" i="3"/>
  <c r="K159" i="3"/>
  <c r="M158" i="3"/>
  <c r="L158" i="3"/>
  <c r="K158" i="3"/>
  <c r="M157" i="3"/>
  <c r="L157" i="3"/>
  <c r="K157" i="3"/>
  <c r="M156" i="3"/>
  <c r="L156" i="3"/>
  <c r="K156" i="3"/>
  <c r="M155" i="3"/>
  <c r="L155" i="3"/>
  <c r="K155" i="3"/>
  <c r="M154" i="3"/>
  <c r="L154" i="3"/>
  <c r="K154" i="3"/>
  <c r="M153" i="3"/>
  <c r="L153" i="3"/>
  <c r="K153" i="3"/>
  <c r="M152" i="3"/>
  <c r="L152" i="3"/>
  <c r="K152" i="3"/>
  <c r="M151" i="3"/>
  <c r="L151" i="3"/>
  <c r="K151" i="3"/>
  <c r="M150" i="3"/>
  <c r="L150" i="3"/>
  <c r="K150" i="3"/>
  <c r="M149" i="3"/>
  <c r="L149" i="3"/>
  <c r="K149" i="3"/>
  <c r="M148" i="3"/>
  <c r="L148" i="3"/>
  <c r="K148" i="3"/>
  <c r="M147" i="3"/>
  <c r="L147" i="3"/>
  <c r="K147" i="3"/>
  <c r="M146" i="3"/>
  <c r="L146" i="3"/>
  <c r="K146" i="3"/>
  <c r="M145" i="3"/>
  <c r="L145" i="3"/>
  <c r="K145" i="3"/>
  <c r="M144" i="3"/>
  <c r="L144" i="3"/>
  <c r="K144" i="3"/>
  <c r="M143" i="3"/>
  <c r="L143" i="3"/>
  <c r="K143" i="3"/>
  <c r="M142" i="3"/>
  <c r="L142" i="3"/>
  <c r="K142" i="3"/>
  <c r="M141" i="3"/>
  <c r="L141" i="3"/>
  <c r="K141" i="3"/>
  <c r="M140" i="3"/>
  <c r="L140" i="3"/>
  <c r="K140" i="3"/>
  <c r="M139" i="3"/>
  <c r="L139" i="3"/>
  <c r="K139" i="3"/>
  <c r="M138" i="3"/>
  <c r="L138" i="3"/>
  <c r="K138" i="3"/>
  <c r="M137" i="3"/>
  <c r="L137" i="3"/>
  <c r="K137" i="3"/>
  <c r="M136" i="3"/>
  <c r="L136" i="3"/>
  <c r="K136" i="3"/>
  <c r="M135" i="3"/>
  <c r="L135" i="3"/>
  <c r="K135" i="3"/>
  <c r="M134" i="3"/>
  <c r="L134" i="3"/>
  <c r="K134" i="3"/>
  <c r="M133" i="3"/>
  <c r="L133" i="3"/>
  <c r="K133" i="3"/>
  <c r="M132" i="3"/>
  <c r="L132" i="3"/>
  <c r="K132" i="3"/>
  <c r="M131" i="3"/>
  <c r="L131" i="3"/>
  <c r="K131" i="3"/>
  <c r="M130" i="3"/>
  <c r="L130" i="3"/>
  <c r="K130" i="3"/>
  <c r="M129" i="3"/>
  <c r="L129" i="3"/>
  <c r="K129" i="3"/>
  <c r="M128" i="3"/>
  <c r="L128" i="3"/>
  <c r="K128" i="3"/>
  <c r="M127" i="3"/>
  <c r="L127" i="3"/>
  <c r="K127" i="3"/>
  <c r="M126" i="3"/>
  <c r="L126" i="3"/>
  <c r="K126" i="3"/>
  <c r="M125" i="3"/>
  <c r="L125" i="3"/>
  <c r="K125" i="3"/>
  <c r="M124" i="3"/>
  <c r="L124" i="3"/>
  <c r="K124" i="3"/>
  <c r="M123" i="3"/>
  <c r="L123" i="3"/>
  <c r="K123" i="3"/>
  <c r="M122" i="3"/>
  <c r="L122" i="3"/>
  <c r="K122" i="3"/>
  <c r="M121" i="3"/>
  <c r="L121" i="3"/>
  <c r="K121" i="3"/>
  <c r="M120" i="3"/>
  <c r="L120" i="3"/>
  <c r="K120" i="3"/>
  <c r="M119" i="3"/>
  <c r="L119" i="3"/>
  <c r="K119" i="3"/>
  <c r="M118" i="3"/>
  <c r="L118" i="3"/>
  <c r="K118" i="3"/>
  <c r="M117" i="3"/>
  <c r="L117" i="3"/>
  <c r="K117" i="3"/>
  <c r="M116" i="3"/>
  <c r="L116" i="3"/>
  <c r="K116" i="3"/>
  <c r="M115" i="3"/>
  <c r="L115" i="3"/>
  <c r="K115" i="3"/>
  <c r="M114" i="3"/>
  <c r="L114" i="3"/>
  <c r="K114" i="3"/>
  <c r="M113" i="3"/>
  <c r="L113" i="3"/>
  <c r="K113" i="3"/>
  <c r="M112" i="3"/>
  <c r="L112" i="3"/>
  <c r="K112" i="3"/>
  <c r="M111" i="3"/>
  <c r="L111" i="3"/>
  <c r="K111" i="3"/>
  <c r="M110" i="3"/>
  <c r="L110" i="3"/>
  <c r="K110" i="3"/>
  <c r="M109" i="3"/>
  <c r="L109" i="3"/>
  <c r="K109" i="3"/>
  <c r="M108" i="3"/>
  <c r="L108" i="3"/>
  <c r="K108" i="3"/>
  <c r="M107" i="3"/>
  <c r="L107" i="3"/>
  <c r="K107" i="3"/>
  <c r="M106" i="3"/>
  <c r="L106" i="3"/>
  <c r="K106" i="3"/>
  <c r="M105" i="3"/>
  <c r="L105" i="3"/>
  <c r="K105" i="3"/>
  <c r="M104" i="3"/>
  <c r="L104" i="3"/>
  <c r="K104" i="3"/>
  <c r="M103" i="3"/>
  <c r="L103" i="3"/>
  <c r="K103" i="3"/>
  <c r="M102" i="3"/>
  <c r="L102" i="3"/>
  <c r="K102" i="3"/>
  <c r="M101" i="3"/>
  <c r="L101" i="3"/>
  <c r="K101" i="3"/>
  <c r="M100" i="3"/>
  <c r="L100" i="3"/>
  <c r="K100" i="3"/>
  <c r="M99" i="3"/>
  <c r="L99" i="3"/>
  <c r="K99" i="3"/>
  <c r="M98" i="3"/>
  <c r="L98" i="3"/>
  <c r="K98" i="3"/>
  <c r="M97" i="3"/>
  <c r="L97" i="3"/>
  <c r="K97" i="3"/>
  <c r="M96" i="3"/>
  <c r="L96" i="3"/>
  <c r="K96" i="3"/>
  <c r="M95" i="3"/>
  <c r="L95" i="3"/>
  <c r="K95" i="3"/>
  <c r="M94" i="3"/>
  <c r="L94" i="3"/>
  <c r="K94" i="3"/>
  <c r="M93" i="3"/>
  <c r="L93" i="3"/>
  <c r="K93" i="3"/>
  <c r="M92" i="3"/>
  <c r="L92" i="3"/>
  <c r="K92" i="3"/>
  <c r="M91" i="3"/>
  <c r="L91" i="3"/>
  <c r="K91" i="3"/>
  <c r="M90" i="3"/>
  <c r="L90" i="3"/>
  <c r="K90" i="3"/>
  <c r="M89" i="3"/>
  <c r="L89" i="3"/>
  <c r="K89" i="3"/>
  <c r="M88" i="3"/>
  <c r="L88" i="3"/>
  <c r="K88" i="3"/>
  <c r="M87" i="3"/>
  <c r="L87" i="3"/>
  <c r="K87" i="3"/>
  <c r="M86" i="3"/>
  <c r="L86" i="3"/>
  <c r="K86" i="3"/>
  <c r="M85" i="3"/>
  <c r="L85" i="3"/>
  <c r="K85" i="3"/>
  <c r="M84" i="3"/>
  <c r="L84" i="3"/>
  <c r="K84" i="3"/>
  <c r="M83" i="3"/>
  <c r="L83" i="3"/>
  <c r="K83" i="3"/>
  <c r="M82" i="3"/>
  <c r="L82" i="3"/>
  <c r="K82" i="3"/>
  <c r="M81" i="3"/>
  <c r="L81" i="3"/>
  <c r="K81" i="3"/>
  <c r="M80" i="3"/>
  <c r="L80" i="3"/>
  <c r="K80" i="3"/>
  <c r="M79" i="3"/>
  <c r="L79" i="3"/>
  <c r="K79" i="3"/>
  <c r="M78" i="3"/>
  <c r="L78" i="3"/>
  <c r="K78" i="3"/>
  <c r="M77" i="3"/>
  <c r="L77" i="3"/>
  <c r="K77" i="3"/>
  <c r="M76" i="3"/>
  <c r="L76" i="3"/>
  <c r="K76" i="3"/>
  <c r="M75" i="3"/>
  <c r="L75" i="3"/>
  <c r="K75" i="3"/>
  <c r="M74" i="3"/>
  <c r="L74" i="3"/>
  <c r="K74" i="3"/>
  <c r="M73" i="3"/>
  <c r="L73" i="3"/>
  <c r="K73" i="3"/>
  <c r="M72" i="3"/>
  <c r="L72" i="3"/>
  <c r="K72" i="3"/>
  <c r="M71" i="3"/>
  <c r="L71" i="3"/>
  <c r="K71" i="3"/>
  <c r="M70" i="3"/>
  <c r="L70" i="3"/>
  <c r="K70" i="3"/>
  <c r="M69" i="3"/>
  <c r="L69" i="3"/>
  <c r="K69" i="3"/>
  <c r="M68" i="3"/>
  <c r="L68" i="3"/>
  <c r="K68" i="3"/>
  <c r="M67" i="3"/>
  <c r="L67" i="3"/>
  <c r="K67" i="3"/>
  <c r="M66" i="3"/>
  <c r="L66" i="3"/>
  <c r="K66" i="3"/>
  <c r="M65" i="3"/>
  <c r="L65" i="3"/>
  <c r="K65" i="3"/>
  <c r="M64" i="3"/>
  <c r="L64" i="3"/>
  <c r="K64" i="3"/>
  <c r="M63" i="3"/>
  <c r="L63" i="3"/>
  <c r="K63" i="3"/>
  <c r="M62" i="3"/>
  <c r="L62" i="3"/>
  <c r="K62" i="3"/>
  <c r="M61" i="3"/>
  <c r="L61" i="3"/>
  <c r="K61" i="3"/>
  <c r="M60" i="3"/>
  <c r="L60" i="3"/>
  <c r="K60" i="3"/>
  <c r="M59" i="3"/>
  <c r="L59" i="3"/>
  <c r="K59" i="3"/>
  <c r="M58" i="3"/>
  <c r="L58" i="3"/>
  <c r="K58" i="3"/>
  <c r="M57" i="3"/>
  <c r="L57" i="3"/>
  <c r="K57" i="3"/>
  <c r="M56" i="3"/>
  <c r="L56" i="3"/>
  <c r="K56" i="3"/>
  <c r="M55" i="3"/>
  <c r="L55" i="3"/>
  <c r="K55" i="3"/>
  <c r="M54" i="3"/>
  <c r="L54" i="3"/>
  <c r="K54" i="3"/>
  <c r="M53" i="3"/>
  <c r="L53" i="3"/>
  <c r="K53" i="3"/>
  <c r="M52" i="3"/>
  <c r="L52" i="3"/>
  <c r="K52" i="3"/>
  <c r="M51" i="3"/>
  <c r="L51" i="3"/>
  <c r="K51" i="3"/>
  <c r="M50" i="3"/>
  <c r="L50" i="3"/>
  <c r="K50" i="3"/>
  <c r="M49" i="3"/>
  <c r="L49" i="3"/>
  <c r="K49" i="3"/>
  <c r="M48" i="3"/>
  <c r="L48" i="3"/>
  <c r="K48" i="3"/>
  <c r="M47" i="3"/>
  <c r="L47" i="3"/>
  <c r="K47" i="3"/>
  <c r="M46" i="3"/>
  <c r="L46" i="3"/>
  <c r="K46" i="3"/>
  <c r="M45" i="3"/>
  <c r="L45" i="3"/>
  <c r="K45" i="3"/>
  <c r="M44" i="3"/>
  <c r="L44" i="3"/>
  <c r="K44" i="3"/>
  <c r="M43" i="3"/>
  <c r="L43" i="3"/>
  <c r="K43" i="3"/>
  <c r="M42" i="3"/>
  <c r="L42" i="3"/>
  <c r="K42" i="3"/>
  <c r="M41" i="3"/>
  <c r="L41" i="3"/>
  <c r="K41" i="3"/>
  <c r="M40" i="3"/>
  <c r="L40" i="3"/>
  <c r="K40" i="3"/>
  <c r="M39" i="3"/>
  <c r="L39" i="3"/>
  <c r="K39" i="3"/>
  <c r="M38" i="3"/>
  <c r="L38" i="3"/>
  <c r="K38" i="3"/>
  <c r="M37" i="3"/>
  <c r="L37" i="3"/>
  <c r="K37" i="3"/>
  <c r="M36" i="3"/>
  <c r="L36" i="3"/>
  <c r="K36" i="3"/>
  <c r="M35" i="3"/>
  <c r="L35" i="3"/>
  <c r="K35" i="3"/>
  <c r="M34" i="3"/>
  <c r="L34" i="3"/>
  <c r="K34" i="3"/>
  <c r="M33" i="3"/>
  <c r="L33" i="3"/>
  <c r="K33" i="3"/>
  <c r="M32" i="3"/>
  <c r="L32" i="3"/>
  <c r="K32" i="3"/>
  <c r="M31" i="3"/>
  <c r="L31" i="3"/>
  <c r="K31" i="3"/>
  <c r="M30" i="3"/>
  <c r="L30" i="3"/>
  <c r="K30" i="3"/>
  <c r="M29" i="3"/>
  <c r="L29" i="3"/>
  <c r="K29" i="3"/>
  <c r="M28" i="3"/>
  <c r="L28" i="3"/>
  <c r="K28" i="3"/>
  <c r="M27" i="3"/>
  <c r="L27" i="3"/>
  <c r="K27" i="3"/>
  <c r="M26" i="3"/>
  <c r="L26" i="3"/>
  <c r="K26" i="3"/>
  <c r="M25" i="3"/>
  <c r="L25" i="3"/>
  <c r="K25" i="3"/>
  <c r="M24" i="3"/>
  <c r="L24" i="3"/>
  <c r="K24" i="3"/>
  <c r="M23" i="3"/>
  <c r="L23" i="3"/>
  <c r="K23" i="3"/>
  <c r="M22" i="3"/>
  <c r="L22" i="3"/>
  <c r="K22" i="3"/>
  <c r="M21" i="3"/>
  <c r="L21" i="3"/>
  <c r="K21" i="3"/>
  <c r="M20" i="3"/>
  <c r="L20" i="3"/>
  <c r="K20" i="3"/>
  <c r="M19" i="3"/>
  <c r="L19" i="3"/>
  <c r="K19" i="3"/>
  <c r="M18" i="3"/>
  <c r="L18" i="3"/>
  <c r="K18" i="3"/>
  <c r="M17" i="3"/>
  <c r="L17" i="3"/>
  <c r="K17" i="3"/>
  <c r="M16" i="3"/>
  <c r="L16" i="3"/>
  <c r="K16" i="3"/>
  <c r="M15" i="3"/>
  <c r="L15" i="3"/>
  <c r="K15" i="3"/>
  <c r="M14" i="3"/>
  <c r="L14" i="3"/>
  <c r="K14" i="3"/>
  <c r="M13" i="3"/>
  <c r="L13" i="3"/>
  <c r="K13" i="3"/>
  <c r="M12" i="3"/>
  <c r="L12" i="3"/>
  <c r="K12" i="3"/>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834" i="1"/>
  <c r="L834" i="1"/>
  <c r="K834" i="1"/>
  <c r="M833" i="1"/>
  <c r="L833" i="1"/>
  <c r="K833" i="1"/>
  <c r="M832" i="1"/>
  <c r="L832" i="1"/>
  <c r="K832" i="1"/>
  <c r="M831" i="1"/>
  <c r="L831" i="1"/>
  <c r="K831" i="1"/>
  <c r="M830" i="1"/>
  <c r="L830" i="1"/>
  <c r="K830" i="1"/>
  <c r="M835" i="1" l="1"/>
  <c r="L465" i="3"/>
  <c r="M465" i="3"/>
  <c r="K465" i="3"/>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0" i="1"/>
  <c r="K780" i="1"/>
  <c r="L781" i="1"/>
  <c r="K781" i="1"/>
  <c r="L779" i="1"/>
  <c r="K779" i="1"/>
  <c r="L772" i="1"/>
  <c r="K772" i="1"/>
  <c r="L771" i="1"/>
  <c r="K771" i="1"/>
  <c r="L770" i="1"/>
  <c r="K770" i="1"/>
  <c r="L769" i="1"/>
  <c r="K769" i="1"/>
  <c r="L768" i="1"/>
  <c r="K768" i="1"/>
  <c r="L767" i="1"/>
  <c r="K767" i="1"/>
  <c r="L766" i="1"/>
  <c r="K766" i="1"/>
  <c r="L765" i="1"/>
  <c r="K765" i="1"/>
  <c r="L753" i="1"/>
  <c r="K753" i="1"/>
  <c r="L756" i="1"/>
  <c r="K756" i="1"/>
  <c r="L755" i="1"/>
  <c r="K755" i="1"/>
  <c r="L754" i="1"/>
  <c r="K754" i="1"/>
  <c r="L735" i="1"/>
  <c r="K735" i="1"/>
  <c r="L745" i="1"/>
  <c r="K745" i="1"/>
  <c r="L727" i="1"/>
  <c r="K727" i="1"/>
  <c r="L726" i="1"/>
  <c r="K726" i="1"/>
  <c r="L739" i="1"/>
  <c r="K739" i="1"/>
  <c r="L749" i="1"/>
  <c r="K749" i="1"/>
  <c r="L725" i="1"/>
  <c r="K725" i="1"/>
  <c r="L734" i="1"/>
  <c r="K734" i="1"/>
  <c r="L733" i="1"/>
  <c r="K733" i="1"/>
  <c r="L732" i="1"/>
  <c r="K732" i="1"/>
  <c r="L752" i="1"/>
  <c r="K752" i="1"/>
  <c r="L724" i="1"/>
  <c r="K724" i="1"/>
  <c r="L723" i="1"/>
  <c r="K723" i="1"/>
  <c r="L748" i="1"/>
  <c r="K748" i="1"/>
  <c r="L744" i="1"/>
  <c r="K744" i="1"/>
  <c r="L719" i="1"/>
  <c r="K719" i="1"/>
  <c r="L751" i="1"/>
  <c r="K751" i="1"/>
  <c r="L738" i="1"/>
  <c r="K738" i="1"/>
  <c r="L737" i="1"/>
  <c r="K737" i="1"/>
  <c r="L717" i="1"/>
  <c r="K717" i="1"/>
  <c r="L716" i="1"/>
  <c r="K716" i="1"/>
  <c r="L58" i="1"/>
  <c r="K58" i="1"/>
  <c r="L713" i="1"/>
  <c r="K713" i="1"/>
  <c r="L714" i="1"/>
  <c r="K714" i="1"/>
  <c r="L762" i="1"/>
  <c r="K762" i="1"/>
  <c r="L759" i="1"/>
  <c r="K759" i="1"/>
  <c r="L593" i="1"/>
  <c r="K593" i="1"/>
  <c r="L594" i="1"/>
  <c r="K594" i="1"/>
  <c r="L731" i="1"/>
  <c r="K731" i="1"/>
  <c r="L758" i="1"/>
  <c r="K758" i="1"/>
  <c r="L736" i="1"/>
  <c r="K736" i="1"/>
  <c r="L763" i="1"/>
  <c r="K763" i="1"/>
  <c r="L764" i="1"/>
  <c r="K764" i="1"/>
  <c r="L704" i="1"/>
  <c r="K704" i="1"/>
  <c r="L547" i="1"/>
  <c r="K547" i="1"/>
  <c r="L702" i="1"/>
  <c r="K702" i="1"/>
  <c r="L699" i="1"/>
  <c r="K699" i="1"/>
  <c r="L698" i="1"/>
  <c r="K698" i="1"/>
  <c r="L696" i="1"/>
  <c r="K696" i="1"/>
  <c r="L695" i="1"/>
  <c r="K695" i="1"/>
  <c r="L694" i="1"/>
  <c r="K694" i="1"/>
  <c r="L693" i="1"/>
  <c r="K693" i="1"/>
  <c r="L692" i="1"/>
  <c r="K692" i="1"/>
  <c r="L691" i="1"/>
  <c r="K691" i="1"/>
  <c r="L690" i="1"/>
  <c r="K690" i="1"/>
  <c r="L689" i="1"/>
  <c r="K689" i="1"/>
  <c r="L686" i="1"/>
  <c r="K686" i="1"/>
  <c r="L677" i="1"/>
  <c r="K677" i="1"/>
  <c r="L680" i="1"/>
  <c r="K680" i="1"/>
  <c r="L679" i="1"/>
  <c r="K679" i="1"/>
  <c r="L681" i="1"/>
  <c r="K681" i="1"/>
  <c r="L683" i="1"/>
  <c r="K683" i="1"/>
  <c r="L676" i="1"/>
  <c r="K676" i="1"/>
  <c r="L682" i="1"/>
  <c r="K682" i="1"/>
  <c r="L675" i="1"/>
  <c r="K675" i="1"/>
  <c r="L678" i="1"/>
  <c r="K678" i="1"/>
  <c r="L684" i="1"/>
  <c r="K684" i="1"/>
  <c r="L685" i="1"/>
  <c r="K685" i="1"/>
  <c r="L549" i="1"/>
  <c r="K549" i="1"/>
  <c r="L546" i="1"/>
  <c r="K546" i="1"/>
  <c r="L703" i="1"/>
  <c r="K703"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722" i="1"/>
  <c r="K722" i="1"/>
  <c r="L564" i="1"/>
  <c r="K564" i="1"/>
  <c r="L561" i="1"/>
  <c r="K561" i="1"/>
  <c r="L563" i="1"/>
  <c r="K563" i="1"/>
  <c r="L565" i="1"/>
  <c r="K565" i="1"/>
  <c r="L560" i="1"/>
  <c r="K560" i="1"/>
  <c r="L562" i="1"/>
  <c r="K562"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97" i="1"/>
  <c r="K597" i="1"/>
  <c r="L596" i="1"/>
  <c r="K596" i="1"/>
  <c r="L595" i="1"/>
  <c r="K595" i="1"/>
  <c r="L601" i="1"/>
  <c r="K601" i="1"/>
  <c r="L602" i="1"/>
  <c r="K602" i="1"/>
  <c r="L598" i="1"/>
  <c r="K598" i="1"/>
  <c r="L600" i="1"/>
  <c r="K600" i="1"/>
  <c r="L599" i="1"/>
  <c r="K599" i="1"/>
  <c r="L603" i="1"/>
  <c r="K603" i="1"/>
  <c r="L604" i="1"/>
  <c r="K604" i="1"/>
  <c r="L697" i="1"/>
  <c r="K697" i="1"/>
  <c r="L701" i="1"/>
  <c r="K701" i="1"/>
  <c r="L637" i="1"/>
  <c r="K637" i="1"/>
  <c r="L645" i="1"/>
  <c r="K645" i="1"/>
  <c r="L553" i="1"/>
  <c r="K553" i="1"/>
  <c r="L212" i="1"/>
  <c r="K212" i="1"/>
  <c r="L541" i="1"/>
  <c r="K541" i="1"/>
  <c r="L650" i="1"/>
  <c r="K650" i="1"/>
  <c r="L644" i="1"/>
  <c r="K644" i="1"/>
  <c r="L651" i="1"/>
  <c r="K651" i="1"/>
  <c r="L649" i="1"/>
  <c r="K649" i="1"/>
  <c r="L537" i="1"/>
  <c r="K537" i="1"/>
  <c r="L550" i="1"/>
  <c r="K550" i="1"/>
  <c r="L643" i="1"/>
  <c r="K643" i="1"/>
  <c r="L648" i="1"/>
  <c r="K648" i="1"/>
  <c r="L540" i="1"/>
  <c r="K540" i="1"/>
  <c r="L642" i="1"/>
  <c r="K642" i="1"/>
  <c r="L539" i="1"/>
  <c r="K539" i="1"/>
  <c r="L544" i="1"/>
  <c r="K544" i="1"/>
  <c r="L538" i="1"/>
  <c r="K538" i="1"/>
  <c r="L551" i="1"/>
  <c r="K551" i="1"/>
  <c r="L543" i="1"/>
  <c r="K543" i="1"/>
  <c r="L545" i="1"/>
  <c r="K545" i="1"/>
  <c r="L548" i="1"/>
  <c r="K548" i="1"/>
  <c r="L542" i="1"/>
  <c r="K542" i="1"/>
  <c r="L647" i="1"/>
  <c r="K647" i="1"/>
  <c r="L640" i="1"/>
  <c r="K640" i="1"/>
  <c r="L700" i="1"/>
  <c r="K700" i="1"/>
  <c r="L646" i="1"/>
  <c r="K646" i="1"/>
  <c r="L652" i="1"/>
  <c r="K652"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417" i="1"/>
  <c r="K417" i="1"/>
  <c r="L506" i="1"/>
  <c r="K506" i="1"/>
  <c r="L431" i="1"/>
  <c r="K431" i="1"/>
  <c r="L416" i="1"/>
  <c r="K416" i="1"/>
  <c r="L437" i="1"/>
  <c r="K437"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509" i="1"/>
  <c r="K509" i="1"/>
  <c r="L430" i="1"/>
  <c r="K430" i="1"/>
  <c r="L415" i="1"/>
  <c r="K415" i="1"/>
  <c r="L508" i="1"/>
  <c r="K508" i="1"/>
  <c r="L511" i="1"/>
  <c r="K511" i="1"/>
  <c r="L429" i="1"/>
  <c r="K429" i="1"/>
  <c r="L414" i="1"/>
  <c r="K414" i="1"/>
  <c r="L428" i="1"/>
  <c r="K428" i="1"/>
  <c r="L413" i="1"/>
  <c r="K413" i="1"/>
  <c r="L427" i="1"/>
  <c r="K427" i="1"/>
  <c r="L412" i="1"/>
  <c r="K412" i="1"/>
  <c r="L409" i="1"/>
  <c r="K409" i="1"/>
  <c r="L507" i="1"/>
  <c r="K507" i="1"/>
  <c r="L512" i="1"/>
  <c r="K512" i="1"/>
  <c r="L436" i="1"/>
  <c r="K436" i="1"/>
  <c r="L510" i="1"/>
  <c r="K510" i="1"/>
  <c r="L513" i="1"/>
  <c r="K513" i="1"/>
  <c r="L426" i="1"/>
  <c r="K426" i="1"/>
  <c r="L425" i="1"/>
  <c r="K425" i="1"/>
  <c r="L424" i="1"/>
  <c r="K424" i="1"/>
  <c r="L411" i="1"/>
  <c r="K411" i="1"/>
  <c r="L408" i="1"/>
  <c r="K408" i="1"/>
  <c r="L435" i="1"/>
  <c r="K435" i="1"/>
  <c r="L423" i="1"/>
  <c r="K423" i="1"/>
  <c r="L422" i="1"/>
  <c r="K422" i="1"/>
  <c r="L434" i="1"/>
  <c r="K434" i="1"/>
  <c r="L421" i="1"/>
  <c r="K421" i="1"/>
  <c r="L505" i="1"/>
  <c r="K505" i="1"/>
  <c r="L420" i="1"/>
  <c r="K420" i="1"/>
  <c r="L433" i="1"/>
  <c r="K433" i="1"/>
  <c r="L404" i="1"/>
  <c r="K404" i="1"/>
  <c r="L667" i="1"/>
  <c r="K667" i="1"/>
  <c r="L668" i="1"/>
  <c r="K668" i="1"/>
  <c r="L666" i="1"/>
  <c r="K666"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569" i="1"/>
  <c r="K569" i="1"/>
  <c r="L567" i="1"/>
  <c r="K567" i="1"/>
  <c r="L566" i="1"/>
  <c r="K566" i="1"/>
  <c r="L568" i="1"/>
  <c r="K568" i="1"/>
  <c r="L362" i="1"/>
  <c r="K362" i="1"/>
  <c r="L359" i="1"/>
  <c r="K359" i="1"/>
  <c r="L357" i="1"/>
  <c r="K357" i="1"/>
  <c r="L356" i="1"/>
  <c r="K356" i="1"/>
  <c r="L361" i="1"/>
  <c r="K361" i="1"/>
  <c r="L360" i="1"/>
  <c r="K360" i="1"/>
  <c r="L358" i="1"/>
  <c r="K358"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576" i="1"/>
  <c r="K576" i="1"/>
  <c r="L592" i="1"/>
  <c r="K592" i="1"/>
  <c r="L591" i="1"/>
  <c r="K591" i="1"/>
  <c r="L438" i="1"/>
  <c r="K438"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407" i="1"/>
  <c r="K407" i="1"/>
  <c r="L419" i="1"/>
  <c r="K419" i="1"/>
  <c r="L410" i="1"/>
  <c r="K410" i="1"/>
  <c r="L418" i="1"/>
  <c r="K418" i="1"/>
  <c r="L406" i="1"/>
  <c r="K406" i="1"/>
  <c r="L288" i="1"/>
  <c r="K288" i="1"/>
  <c r="L290" i="1"/>
  <c r="K290" i="1"/>
  <c r="L286" i="1"/>
  <c r="K286" i="1"/>
  <c r="L287" i="1"/>
  <c r="K287" i="1"/>
  <c r="L289" i="1"/>
  <c r="K289" i="1"/>
  <c r="L572" i="1"/>
  <c r="K572" i="1"/>
  <c r="L571" i="1"/>
  <c r="K571" i="1"/>
  <c r="L570" i="1"/>
  <c r="K570" i="1"/>
  <c r="L285" i="1"/>
  <c r="K285" i="1"/>
  <c r="L555" i="1"/>
  <c r="K555" i="1"/>
  <c r="L554" i="1"/>
  <c r="K554" i="1"/>
  <c r="L556" i="1"/>
  <c r="K556" i="1"/>
  <c r="L558" i="1"/>
  <c r="K558" i="1"/>
  <c r="L557" i="1"/>
  <c r="K557" i="1"/>
  <c r="L559" i="1"/>
  <c r="K559" i="1"/>
  <c r="L432" i="1"/>
  <c r="K432" i="1"/>
  <c r="L405" i="1"/>
  <c r="K405" i="1"/>
  <c r="L284" i="1"/>
  <c r="K284" i="1"/>
  <c r="L575" i="1"/>
  <c r="K575" i="1"/>
  <c r="L574" i="1"/>
  <c r="K574" i="1"/>
  <c r="L573" i="1"/>
  <c r="K573"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664" i="1"/>
  <c r="K664" i="1"/>
  <c r="L662" i="1"/>
  <c r="K662" i="1"/>
  <c r="L665" i="1"/>
  <c r="K665" i="1"/>
  <c r="L660" i="1"/>
  <c r="K660" i="1"/>
  <c r="L658" i="1"/>
  <c r="K658" i="1"/>
  <c r="L661" i="1"/>
  <c r="K661" i="1"/>
  <c r="L659" i="1"/>
  <c r="K659" i="1"/>
  <c r="L663" i="1"/>
  <c r="K663" i="1"/>
  <c r="L262" i="1"/>
  <c r="K262" i="1"/>
  <c r="L261" i="1"/>
  <c r="K261" i="1"/>
  <c r="L774" i="1"/>
  <c r="K774" i="1"/>
  <c r="L777" i="1"/>
  <c r="K777" i="1"/>
  <c r="L773" i="1"/>
  <c r="K773" i="1"/>
  <c r="L778" i="1"/>
  <c r="K778" i="1"/>
  <c r="L776" i="1"/>
  <c r="K776" i="1"/>
  <c r="L775" i="1"/>
  <c r="K775"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653" i="1"/>
  <c r="K653" i="1"/>
  <c r="L639" i="1"/>
  <c r="K639" i="1"/>
  <c r="L613" i="1"/>
  <c r="K613" i="1"/>
  <c r="L657" i="1"/>
  <c r="K657" i="1"/>
  <c r="L655" i="1"/>
  <c r="K655" i="1"/>
  <c r="L654" i="1"/>
  <c r="K654" i="1"/>
  <c r="L656" i="1"/>
  <c r="K656" i="1"/>
  <c r="L612" i="1"/>
  <c r="K612" i="1"/>
  <c r="L638" i="1"/>
  <c r="K638" i="1"/>
  <c r="L615" i="1"/>
  <c r="K615" i="1"/>
  <c r="L614" i="1"/>
  <c r="K614" i="1"/>
  <c r="L552" i="1"/>
  <c r="K552" i="1"/>
  <c r="L743" i="1"/>
  <c r="K743" i="1"/>
  <c r="L730" i="1"/>
  <c r="K730" i="1"/>
  <c r="L742" i="1"/>
  <c r="K742" i="1"/>
  <c r="L750" i="1"/>
  <c r="K750" i="1"/>
  <c r="L761" i="1"/>
  <c r="K761" i="1"/>
  <c r="L718" i="1"/>
  <c r="K718" i="1"/>
  <c r="L729" i="1"/>
  <c r="K729" i="1"/>
  <c r="L747" i="1"/>
  <c r="K747" i="1"/>
  <c r="L223" i="1"/>
  <c r="K223" i="1"/>
  <c r="L222" i="1"/>
  <c r="K222" i="1"/>
  <c r="L611" i="1"/>
  <c r="K611" i="1"/>
  <c r="L610" i="1"/>
  <c r="K610" i="1"/>
  <c r="L608" i="1"/>
  <c r="K608" i="1"/>
  <c r="L609" i="1"/>
  <c r="K609" i="1"/>
  <c r="L605" i="1"/>
  <c r="K605" i="1"/>
  <c r="L607" i="1"/>
  <c r="K607" i="1"/>
  <c r="L606" i="1"/>
  <c r="K606" i="1"/>
  <c r="L221" i="1"/>
  <c r="K221" i="1"/>
  <c r="L220" i="1"/>
  <c r="K220" i="1"/>
  <c r="L219" i="1"/>
  <c r="K219" i="1"/>
  <c r="L218" i="1"/>
  <c r="K218" i="1"/>
  <c r="L217" i="1"/>
  <c r="K217" i="1"/>
  <c r="L216" i="1"/>
  <c r="K216" i="1"/>
  <c r="L215" i="1"/>
  <c r="K215" i="1"/>
  <c r="L214" i="1"/>
  <c r="K214" i="1"/>
  <c r="L213" i="1"/>
  <c r="K213" i="1"/>
  <c r="L641" i="1"/>
  <c r="K641" i="1"/>
  <c r="L211" i="1"/>
  <c r="K211" i="1"/>
  <c r="L210" i="1"/>
  <c r="K210" i="1"/>
  <c r="L209" i="1"/>
  <c r="K209" i="1"/>
  <c r="L208" i="1"/>
  <c r="K208" i="1"/>
  <c r="L207" i="1"/>
  <c r="K207" i="1"/>
  <c r="L205" i="1"/>
  <c r="K205" i="1"/>
  <c r="L203" i="1"/>
  <c r="K203" i="1"/>
  <c r="L204" i="1"/>
  <c r="K204" i="1"/>
  <c r="L202" i="1"/>
  <c r="K202" i="1"/>
  <c r="L206" i="1"/>
  <c r="K206" i="1"/>
  <c r="L201" i="1"/>
  <c r="K201" i="1"/>
  <c r="L200" i="1"/>
  <c r="K200" i="1"/>
  <c r="L199" i="1"/>
  <c r="K199" i="1"/>
  <c r="L741" i="1"/>
  <c r="K741" i="1"/>
  <c r="L757" i="1"/>
  <c r="K757" i="1"/>
  <c r="L746" i="1"/>
  <c r="K746" i="1"/>
  <c r="L760" i="1"/>
  <c r="K760" i="1"/>
  <c r="L198" i="1"/>
  <c r="K198" i="1"/>
  <c r="L197" i="1"/>
  <c r="K197" i="1"/>
  <c r="L669" i="1"/>
  <c r="K669" i="1"/>
  <c r="L706" i="1"/>
  <c r="K706" i="1"/>
  <c r="L710" i="1"/>
  <c r="K710" i="1"/>
  <c r="L708" i="1"/>
  <c r="K708" i="1"/>
  <c r="L707" i="1"/>
  <c r="K707" i="1"/>
  <c r="L705" i="1"/>
  <c r="K705" i="1"/>
  <c r="L709" i="1"/>
  <c r="K709" i="1"/>
  <c r="L712" i="1"/>
  <c r="K712" i="1"/>
  <c r="L711" i="1"/>
  <c r="K711" i="1"/>
  <c r="L688" i="1"/>
  <c r="K688" i="1"/>
  <c r="L687" i="1"/>
  <c r="K687" i="1"/>
  <c r="L721" i="1"/>
  <c r="K721" i="1"/>
  <c r="L728" i="1"/>
  <c r="K728" i="1"/>
  <c r="L740" i="1"/>
  <c r="K740" i="1"/>
  <c r="L720" i="1"/>
  <c r="K720" i="1"/>
  <c r="L670" i="1"/>
  <c r="K670" i="1"/>
  <c r="L674" i="1"/>
  <c r="K674" i="1"/>
  <c r="L672" i="1"/>
  <c r="K672" i="1"/>
  <c r="L671" i="1"/>
  <c r="K671" i="1"/>
  <c r="L673" i="1"/>
  <c r="K673" i="1"/>
  <c r="L185" i="1"/>
  <c r="K185" i="1"/>
  <c r="L184" i="1"/>
  <c r="K184" i="1"/>
  <c r="L189" i="1"/>
  <c r="K189" i="1"/>
  <c r="L188" i="1"/>
  <c r="K188" i="1"/>
  <c r="L192" i="1"/>
  <c r="K192" i="1"/>
  <c r="L187" i="1"/>
  <c r="K187" i="1"/>
  <c r="L195" i="1"/>
  <c r="K195" i="1"/>
  <c r="L196" i="1"/>
  <c r="K196" i="1"/>
  <c r="L186" i="1"/>
  <c r="K186" i="1"/>
  <c r="L193" i="1"/>
  <c r="K193" i="1"/>
  <c r="L182" i="1"/>
  <c r="K182" i="1"/>
  <c r="L194" i="1"/>
  <c r="K194" i="1"/>
  <c r="L190" i="1"/>
  <c r="K190" i="1"/>
  <c r="L191" i="1"/>
  <c r="K191" i="1"/>
  <c r="L183" i="1"/>
  <c r="K183"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48" i="1"/>
  <c r="K48" i="1"/>
  <c r="L94" i="1"/>
  <c r="K94" i="1"/>
  <c r="L83" i="1"/>
  <c r="K83" i="1"/>
  <c r="L115" i="1"/>
  <c r="K115" i="1"/>
  <c r="L40" i="1"/>
  <c r="K40" i="1"/>
  <c r="L39" i="1"/>
  <c r="K39" i="1"/>
  <c r="L77" i="1"/>
  <c r="K77" i="1"/>
  <c r="L68" i="1"/>
  <c r="K68" i="1"/>
  <c r="L47" i="1"/>
  <c r="K47" i="1"/>
  <c r="L146" i="1"/>
  <c r="K146" i="1"/>
  <c r="L93" i="1"/>
  <c r="K93" i="1"/>
  <c r="L38" i="1"/>
  <c r="K38" i="1"/>
  <c r="L37" i="1"/>
  <c r="K37" i="1"/>
  <c r="L131" i="1"/>
  <c r="K131" i="1"/>
  <c r="L36" i="1"/>
  <c r="K36" i="1"/>
  <c r="L57" i="1"/>
  <c r="K57" i="1"/>
  <c r="L105" i="1"/>
  <c r="K105" i="1"/>
  <c r="L56" i="1"/>
  <c r="K56" i="1"/>
  <c r="L55" i="1"/>
  <c r="K55" i="1"/>
  <c r="L130" i="1"/>
  <c r="K130" i="1"/>
  <c r="L76" i="1"/>
  <c r="K76" i="1"/>
  <c r="L114" i="1"/>
  <c r="K114" i="1"/>
  <c r="L35" i="1"/>
  <c r="K35" i="1"/>
  <c r="L104" i="1"/>
  <c r="K104" i="1"/>
  <c r="L54" i="1"/>
  <c r="K54" i="1"/>
  <c r="L129" i="1"/>
  <c r="K129" i="1"/>
  <c r="L715" i="1"/>
  <c r="K715" i="1"/>
  <c r="L103" i="1"/>
  <c r="K103" i="1"/>
  <c r="L102" i="1"/>
  <c r="K102" i="1"/>
  <c r="L141" i="1"/>
  <c r="K141" i="1"/>
  <c r="L128" i="1"/>
  <c r="K128" i="1"/>
  <c r="L137" i="1"/>
  <c r="K137" i="1"/>
  <c r="L136" i="1"/>
  <c r="K136" i="1"/>
  <c r="L127" i="1"/>
  <c r="K127" i="1"/>
  <c r="L126" i="1"/>
  <c r="K126" i="1"/>
  <c r="L101" i="1"/>
  <c r="K101" i="1"/>
  <c r="L125" i="1"/>
  <c r="K125" i="1"/>
  <c r="L100" i="1"/>
  <c r="K100" i="1"/>
  <c r="L118" i="1"/>
  <c r="K118" i="1"/>
  <c r="L117" i="1"/>
  <c r="K117" i="1"/>
  <c r="L92" i="1"/>
  <c r="K92" i="1"/>
  <c r="L124" i="1"/>
  <c r="K124" i="1"/>
  <c r="L91" i="1"/>
  <c r="K91" i="1"/>
  <c r="L90" i="1"/>
  <c r="K90" i="1"/>
  <c r="L113" i="1"/>
  <c r="K113" i="1"/>
  <c r="L88" i="1"/>
  <c r="K88" i="1"/>
  <c r="L87" i="1"/>
  <c r="K87" i="1"/>
  <c r="L67" i="1"/>
  <c r="K67" i="1"/>
  <c r="L66" i="1"/>
  <c r="K66" i="1"/>
  <c r="L17" i="1"/>
  <c r="K17" i="1"/>
  <c r="L121" i="1"/>
  <c r="K121" i="1"/>
  <c r="L112" i="1"/>
  <c r="K112" i="1"/>
  <c r="L82" i="1"/>
  <c r="K82" i="1"/>
  <c r="L140" i="1"/>
  <c r="K140" i="1"/>
  <c r="L34" i="1"/>
  <c r="K34" i="1"/>
  <c r="L110" i="1"/>
  <c r="K110" i="1"/>
  <c r="L99" i="1"/>
  <c r="K99" i="1"/>
  <c r="L53" i="1"/>
  <c r="K53" i="1"/>
  <c r="L120" i="1"/>
  <c r="K120" i="1"/>
  <c r="L135" i="1"/>
  <c r="K135" i="1"/>
  <c r="L111" i="1"/>
  <c r="K111" i="1"/>
  <c r="L33" i="1"/>
  <c r="K33" i="1"/>
  <c r="L86" i="1"/>
  <c r="K86" i="1"/>
  <c r="L142" i="1"/>
  <c r="K142" i="1"/>
  <c r="L144" i="1"/>
  <c r="K144" i="1"/>
  <c r="L133" i="1"/>
  <c r="K133" i="1"/>
  <c r="L109" i="1"/>
  <c r="K109" i="1"/>
  <c r="L75" i="1"/>
  <c r="K75" i="1"/>
  <c r="L119" i="1"/>
  <c r="K119" i="1"/>
  <c r="L134" i="1"/>
  <c r="K134" i="1"/>
  <c r="L65" i="1"/>
  <c r="K65" i="1"/>
  <c r="L32" i="1"/>
  <c r="K32" i="1"/>
  <c r="L31" i="1"/>
  <c r="K31" i="1"/>
  <c r="L85" i="1"/>
  <c r="K85" i="1"/>
  <c r="L108" i="1"/>
  <c r="K108" i="1"/>
  <c r="L145" i="1"/>
  <c r="K145" i="1"/>
  <c r="L98" i="1"/>
  <c r="K98" i="1"/>
  <c r="L97" i="1"/>
  <c r="K97" i="1"/>
  <c r="L30" i="1"/>
  <c r="K30" i="1"/>
  <c r="L16" i="1"/>
  <c r="K16" i="1"/>
  <c r="L89" i="1"/>
  <c r="K89" i="1"/>
  <c r="L74" i="1"/>
  <c r="K74" i="1"/>
  <c r="L29" i="1"/>
  <c r="K29" i="1"/>
  <c r="L143" i="1"/>
  <c r="K143" i="1"/>
  <c r="L96" i="1"/>
  <c r="K96" i="1"/>
  <c r="L81" i="1"/>
  <c r="K81" i="1"/>
  <c r="L73" i="1"/>
  <c r="K73" i="1"/>
  <c r="L64" i="1"/>
  <c r="K64" i="1"/>
  <c r="L63" i="1"/>
  <c r="K63" i="1"/>
  <c r="L139" i="1"/>
  <c r="K139" i="1"/>
  <c r="L28" i="1"/>
  <c r="K28" i="1"/>
  <c r="L27" i="1"/>
  <c r="K27" i="1"/>
  <c r="L26" i="1"/>
  <c r="K26" i="1"/>
  <c r="L25" i="1"/>
  <c r="K25" i="1"/>
  <c r="L24" i="1"/>
  <c r="K24" i="1"/>
  <c r="L23" i="1"/>
  <c r="K23" i="1"/>
  <c r="L22" i="1"/>
  <c r="K22" i="1"/>
  <c r="L21" i="1"/>
  <c r="K21" i="1"/>
  <c r="L20" i="1"/>
  <c r="K20" i="1"/>
  <c r="L46" i="1"/>
  <c r="K46" i="1"/>
  <c r="L95" i="1"/>
  <c r="K95" i="1"/>
  <c r="L80" i="1"/>
  <c r="K80" i="1"/>
  <c r="L147" i="1"/>
  <c r="K147" i="1"/>
  <c r="L62" i="1"/>
  <c r="K62" i="1"/>
  <c r="L61" i="1"/>
  <c r="K61" i="1"/>
  <c r="L116" i="1"/>
  <c r="K116" i="1"/>
  <c r="L52" i="1"/>
  <c r="K52" i="1"/>
  <c r="L45" i="1"/>
  <c r="K45" i="1"/>
  <c r="L51" i="1"/>
  <c r="K51" i="1"/>
  <c r="L44" i="1"/>
  <c r="K44" i="1"/>
  <c r="L72" i="1"/>
  <c r="K72" i="1"/>
  <c r="L123" i="1"/>
  <c r="K123" i="1"/>
  <c r="L15" i="1"/>
  <c r="K15" i="1"/>
  <c r="L50" i="1"/>
  <c r="K50" i="1"/>
  <c r="L71" i="1"/>
  <c r="K71" i="1"/>
  <c r="L43" i="1"/>
  <c r="K43" i="1"/>
  <c r="L79" i="1"/>
  <c r="K79" i="1"/>
  <c r="L14" i="1"/>
  <c r="K14" i="1"/>
  <c r="L78" i="1"/>
  <c r="K78" i="1"/>
  <c r="L42" i="1"/>
  <c r="K42" i="1"/>
  <c r="L107" i="1"/>
  <c r="K107" i="1"/>
  <c r="L49" i="1"/>
  <c r="K49" i="1"/>
  <c r="L13" i="1"/>
  <c r="K13" i="1"/>
  <c r="L70" i="1"/>
  <c r="K70" i="1"/>
  <c r="L19" i="1"/>
  <c r="K19" i="1"/>
  <c r="L41" i="1"/>
  <c r="K41" i="1"/>
  <c r="L18" i="1"/>
  <c r="K18" i="1"/>
  <c r="L106" i="1"/>
  <c r="K106" i="1"/>
  <c r="L132" i="1"/>
  <c r="K132" i="1"/>
  <c r="L122" i="1"/>
  <c r="K122" i="1"/>
  <c r="L69" i="1"/>
  <c r="K69" i="1"/>
  <c r="L84" i="1"/>
  <c r="K84" i="1"/>
  <c r="L60" i="1"/>
  <c r="K60" i="1"/>
  <c r="L12" i="1"/>
  <c r="K12" i="1"/>
  <c r="K835" i="1" s="1"/>
  <c r="L138" i="1"/>
  <c r="K138" i="1"/>
  <c r="L59" i="1"/>
  <c r="K59" i="1"/>
  <c r="L835" i="1" l="1"/>
</calcChain>
</file>

<file path=xl/sharedStrings.xml><?xml version="1.0" encoding="utf-8"?>
<sst xmlns="http://schemas.openxmlformats.org/spreadsheetml/2006/main" count="7428" uniqueCount="1907">
  <si>
    <t>Stock In Hand</t>
  </si>
  <si>
    <t>Purchase</t>
  </si>
  <si>
    <t>Profit Center</t>
  </si>
  <si>
    <t xml:space="preserve">Company </t>
  </si>
  <si>
    <t xml:space="preserve">Brand </t>
  </si>
  <si>
    <t>SKU</t>
  </si>
  <si>
    <t>SKU Description</t>
  </si>
  <si>
    <t>Weight</t>
  </si>
  <si>
    <t>Consumer Price</t>
  </si>
  <si>
    <r>
      <rPr>
        <b/>
        <sz val="10"/>
        <color rgb="FFFFFFFF"/>
        <rFont val="Tahoma"/>
        <family val="2"/>
      </rPr>
      <t xml:space="preserve">Purchase 
</t>
    </r>
    <r>
      <rPr>
        <b/>
        <sz val="10"/>
        <color rgb="FFFFFFFF"/>
        <rFont val="Tahoma"/>
        <family val="2"/>
      </rPr>
      <t>Value</t>
    </r>
  </si>
  <si>
    <r>
      <rPr>
        <b/>
        <sz val="10"/>
        <color rgb="FFFFFFFF"/>
        <rFont val="Tahoma"/>
        <family val="2"/>
      </rPr>
      <t xml:space="preserve">Trade
</t>
    </r>
    <r>
      <rPr>
        <b/>
        <sz val="10"/>
        <color rgb="FFFFFFFF"/>
        <rFont val="Tahoma"/>
        <family val="2"/>
      </rPr>
      <t>Value</t>
    </r>
  </si>
  <si>
    <t>1</t>
  </si>
  <si>
    <t>GROCERY</t>
  </si>
  <si>
    <t>CORPORATE</t>
  </si>
  <si>
    <t>DAAL</t>
  </si>
  <si>
    <t>0030</t>
  </si>
  <si>
    <t>SOOJI 500GM Rs 90</t>
  </si>
  <si>
    <t>0031</t>
  </si>
  <si>
    <t>NIMKO/CHANNE RS:50 Rs 50</t>
  </si>
  <si>
    <t>0032</t>
  </si>
  <si>
    <t>KACHI BASMATI 500GM Rs 160</t>
  </si>
  <si>
    <t>0033</t>
  </si>
  <si>
    <t>IMLI RS:100 Rs 100</t>
  </si>
  <si>
    <t>01</t>
  </si>
  <si>
    <t>BLANGU 100GM Rs 120</t>
  </si>
  <si>
    <t>034</t>
  </si>
  <si>
    <t>DAAR CHINI RS:50 Rs 70</t>
  </si>
  <si>
    <t>035</t>
  </si>
  <si>
    <t>KALI MIRCH 50G Rs 160</t>
  </si>
  <si>
    <t>060</t>
  </si>
  <si>
    <t>DAAL MASH 1KG Rs 480</t>
  </si>
  <si>
    <t>07</t>
  </si>
  <si>
    <t>DAAL MASOOR 1KG Rs 320</t>
  </si>
  <si>
    <t>08</t>
  </si>
  <si>
    <t>SALAM MASOOR 1KG Rs 240</t>
  </si>
  <si>
    <t>DAAL MASH 250GM Rs 120</t>
  </si>
  <si>
    <t>10</t>
  </si>
  <si>
    <t>CHANNA WHITE 500GM Rs 190</t>
  </si>
  <si>
    <t>12</t>
  </si>
  <si>
    <t>KALA CHANNA 250GM Rs 60</t>
  </si>
  <si>
    <t>1201</t>
  </si>
  <si>
    <t>KAINAT ORIGNAL 1KG Rs 380</t>
  </si>
  <si>
    <t>13</t>
  </si>
  <si>
    <t>KALA CHANNA 500GM Rs 120</t>
  </si>
  <si>
    <t>14</t>
  </si>
  <si>
    <t>KALA CHANNA 1000GM Rs 240</t>
  </si>
  <si>
    <t>15</t>
  </si>
  <si>
    <t>BAISON 250GM Rs 95</t>
  </si>
  <si>
    <t>16</t>
  </si>
  <si>
    <t>BAISON 500GM Rs 190</t>
  </si>
  <si>
    <t>17</t>
  </si>
  <si>
    <t>KAINAT RICE 500G Rs 200</t>
  </si>
  <si>
    <t>2</t>
  </si>
  <si>
    <t>DAAL MOONG250 GM Rs 100</t>
  </si>
  <si>
    <t>3</t>
  </si>
  <si>
    <t>DAAL CHANNA MOTI 250GM Rs 70</t>
  </si>
  <si>
    <t>4</t>
  </si>
  <si>
    <t>DAAL CHANNA MOTI 500GM Rs 140</t>
  </si>
  <si>
    <t>5</t>
  </si>
  <si>
    <t>DAAL CHANNA SUPREME 1KG Rs 280</t>
  </si>
  <si>
    <t>6</t>
  </si>
  <si>
    <t>DBL STEAM NAROWAL 1KG Rs 340</t>
  </si>
  <si>
    <t>609</t>
  </si>
  <si>
    <t>AATA 10KG Rs 1100</t>
  </si>
  <si>
    <t>7</t>
  </si>
  <si>
    <t>DAAL MASOOR 250GM Rs 80</t>
  </si>
  <si>
    <t>8</t>
  </si>
  <si>
    <t>SALAM MASOOR 250GM Rs 60</t>
  </si>
  <si>
    <t>8961008211190</t>
  </si>
  <si>
    <t>FRUITA VITAL CHONSA Rs 340</t>
  </si>
  <si>
    <t>8964000064160</t>
  </si>
  <si>
    <t>FAUJI DALYA 175G Rs 190</t>
  </si>
  <si>
    <t>8966000017917</t>
  </si>
  <si>
    <t>BROWN PIAZ Rs 250</t>
  </si>
  <si>
    <t>SHOE POLISH</t>
  </si>
  <si>
    <t>6972461050006</t>
  </si>
  <si>
    <t>LUDE POLISH Rs 110</t>
  </si>
  <si>
    <t>897121001173</t>
  </si>
  <si>
    <t>ELFI Rs 30</t>
  </si>
  <si>
    <t>DC COUNTER</t>
  </si>
  <si>
    <t>2063208193125</t>
  </si>
  <si>
    <t>FRUIT COCOTAIL 227GM Rs 320</t>
  </si>
  <si>
    <t>581</t>
  </si>
  <si>
    <t>EGGs Rs 20</t>
  </si>
  <si>
    <t>583</t>
  </si>
  <si>
    <t>HOLIDAY BAKING POWDER Rs 100</t>
  </si>
  <si>
    <t>585</t>
  </si>
  <si>
    <t>BAISON 1KG Rs 380</t>
  </si>
  <si>
    <t>8858871806090</t>
  </si>
  <si>
    <t>KOLLY PINE APPLE 565GM Rs 400</t>
  </si>
  <si>
    <t>DC1</t>
  </si>
  <si>
    <t>DAAL MOONG 1KG Rs 400</t>
  </si>
  <si>
    <t>DC10</t>
  </si>
  <si>
    <t>KALE CHANNE Rs 260</t>
  </si>
  <si>
    <t>DC2</t>
  </si>
  <si>
    <t>DAAL MASOOR 1KG Rs 240</t>
  </si>
  <si>
    <t>DC3</t>
  </si>
  <si>
    <t>DAAL CHANNA 1KG Rs 210</t>
  </si>
  <si>
    <t>DC4</t>
  </si>
  <si>
    <t>BAISON 1KG Rs 240</t>
  </si>
  <si>
    <t>DC5</t>
  </si>
  <si>
    <t>DAAL MASH 1KG Rs 470</t>
  </si>
  <si>
    <t>DC6</t>
  </si>
  <si>
    <t>BASMATI SUPER RICE 1KG Rs 300</t>
  </si>
  <si>
    <t>DC7</t>
  </si>
  <si>
    <t>SUGAR 1KG Rs 150</t>
  </si>
  <si>
    <t>DC8</t>
  </si>
  <si>
    <t>WHITE CHANNE 1KG Rs 350</t>
  </si>
  <si>
    <t>RICE</t>
  </si>
  <si>
    <t>02</t>
  </si>
  <si>
    <t>KAINAT PURANI 1KG Rs 400</t>
  </si>
  <si>
    <t>03</t>
  </si>
  <si>
    <t>KAINAT PURANI 2KG Rs 800</t>
  </si>
  <si>
    <t>04</t>
  </si>
  <si>
    <t>DBL STM PONA RICE 1K Rs 300</t>
  </si>
  <si>
    <t>046</t>
  </si>
  <si>
    <t>BASMATI TOTA RICE 500G Rs 120</t>
  </si>
  <si>
    <t>18</t>
  </si>
  <si>
    <t>KAINAT PURANI 500GM Rs 190</t>
  </si>
  <si>
    <t>19</t>
  </si>
  <si>
    <t>BASMATI TOTA RICE 1KG Rs 240</t>
  </si>
  <si>
    <t>20</t>
  </si>
  <si>
    <t>KAINAT PONA RICE 1KG Rs 280</t>
  </si>
  <si>
    <t>21</t>
  </si>
  <si>
    <t>DBL STEAM NAROWAL 2KG Rs 680</t>
  </si>
  <si>
    <t>22</t>
  </si>
  <si>
    <t>SELA KAINAAT 500GM Rs 180</t>
  </si>
  <si>
    <t>23</t>
  </si>
  <si>
    <t>SELA KAINAAT 1KG Rs 360</t>
  </si>
  <si>
    <t>574</t>
  </si>
  <si>
    <t>DBL STEAM NAROWAL 500G Rs 170</t>
  </si>
  <si>
    <t>AATA</t>
  </si>
  <si>
    <t>0571</t>
  </si>
  <si>
    <t>ITEMS RS:10 Rs 10</t>
  </si>
  <si>
    <t>571</t>
  </si>
  <si>
    <t>AATA  15KG Rs 1600</t>
  </si>
  <si>
    <t>573</t>
  </si>
  <si>
    <t>AATA  20KG Rs 2100</t>
  </si>
  <si>
    <t>OSAKA TAP</t>
  </si>
  <si>
    <t>579</t>
  </si>
  <si>
    <t>OSAKA TAPE Rs 50 Rs 50</t>
  </si>
  <si>
    <t>580</t>
  </si>
  <si>
    <t>TRANSPARENT TAPE Rs 10 Rs 0</t>
  </si>
  <si>
    <t>GARAM MASALA</t>
  </si>
  <si>
    <t>0002</t>
  </si>
  <si>
    <t>ZEERA WHITE 100GM Rs 200</t>
  </si>
  <si>
    <t>0004</t>
  </si>
  <si>
    <t>CHUWARE 100GM Rs 60</t>
  </si>
  <si>
    <t>0005</t>
  </si>
  <si>
    <t>SABUDANA RS 50 Rs 60</t>
  </si>
  <si>
    <t>0006</t>
  </si>
  <si>
    <t>KHASH KHAS RS100 Rs 100</t>
  </si>
  <si>
    <t>0009</t>
  </si>
  <si>
    <t>TATRI Rs 14</t>
  </si>
  <si>
    <t>0012</t>
  </si>
  <si>
    <t>GUR 500GM Rs 100</t>
  </si>
  <si>
    <t>0013</t>
  </si>
  <si>
    <t>BROWN SUGAR RS:60 Rs 60</t>
  </si>
  <si>
    <t>0016</t>
  </si>
  <si>
    <t>MAIDA 500GM Rs 80</t>
  </si>
  <si>
    <t>0017</t>
  </si>
  <si>
    <t>G MASALA RS:100 Rs 100</t>
  </si>
  <si>
    <t>0018</t>
  </si>
  <si>
    <t>JALWATRI 10GM Rs 60</t>
  </si>
  <si>
    <t>0019</t>
  </si>
  <si>
    <t>JAIFAL 20GM Rs 50</t>
  </si>
  <si>
    <t>0020</t>
  </si>
  <si>
    <t>BADYAN 20GM Rs 50</t>
  </si>
  <si>
    <t>0021</t>
  </si>
  <si>
    <t>KALONJI 50GM Rs 70</t>
  </si>
  <si>
    <t>0022</t>
  </si>
  <si>
    <t>MAITHI DANA RS50 Rs 50</t>
  </si>
  <si>
    <t>0023</t>
  </si>
  <si>
    <t>RAI 20GM Rs 40</t>
  </si>
  <si>
    <t>0024</t>
  </si>
  <si>
    <t>AJWAIN 50GM Rs 50</t>
  </si>
  <si>
    <t>0025</t>
  </si>
  <si>
    <t>DHANYA POWDER RS 100 Rs 100</t>
  </si>
  <si>
    <t>017</t>
  </si>
  <si>
    <t>GARAM MASALA RS:200 Rs 200</t>
  </si>
  <si>
    <t>019</t>
  </si>
  <si>
    <t>KALI MIRCH POWDER Rs 150</t>
  </si>
  <si>
    <t>025</t>
  </si>
  <si>
    <t>KISHMISH RS:100 Rs 100</t>
  </si>
  <si>
    <t>028</t>
  </si>
  <si>
    <t>DHANIA SALUM RS 100 Rs 100</t>
  </si>
  <si>
    <t>042</t>
  </si>
  <si>
    <t>HALDI RS 100 Rs 100</t>
  </si>
  <si>
    <t>043</t>
  </si>
  <si>
    <t>MIRCH KUTWAN 200G Rs 200</t>
  </si>
  <si>
    <t>044</t>
  </si>
  <si>
    <t>MIRCH KHALIS 200GM Rs 200</t>
  </si>
  <si>
    <t>05</t>
  </si>
  <si>
    <t>DBL STM PONA RICE 500G Rs 140</t>
  </si>
  <si>
    <t>24</t>
  </si>
  <si>
    <t>NARIAL RS:50 Rs 50</t>
  </si>
  <si>
    <t>25</t>
  </si>
  <si>
    <t>KISHMISH RS:60 Rs 60</t>
  </si>
  <si>
    <t>27</t>
  </si>
  <si>
    <t>SONF RS:50 Rs 50</t>
  </si>
  <si>
    <t>28</t>
  </si>
  <si>
    <t>DHANYA SALUM RS 50 Rs 50</t>
  </si>
  <si>
    <t>29</t>
  </si>
  <si>
    <t>DHANIYA POWDER RS 50 Rs 50</t>
  </si>
  <si>
    <t>30</t>
  </si>
  <si>
    <t>CHINA SALT 50GM Rs 50</t>
  </si>
  <si>
    <t>32</t>
  </si>
  <si>
    <t>ALAICHI CHOTI RS 100 Rs 100</t>
  </si>
  <si>
    <t>33</t>
  </si>
  <si>
    <t>IMLI RS:50 Rs 50</t>
  </si>
  <si>
    <t>35</t>
  </si>
  <si>
    <t>KALI MIRCH RS:100 Rs 100</t>
  </si>
  <si>
    <t>36</t>
  </si>
  <si>
    <t>LONG 20GM Rs 90</t>
  </si>
  <si>
    <t>37</t>
  </si>
  <si>
    <t>BARI ALAICHI RS:80 Rs 100</t>
  </si>
  <si>
    <t>38</t>
  </si>
  <si>
    <t>ZEERA WHITE 50G Rs 140</t>
  </si>
  <si>
    <t>39</t>
  </si>
  <si>
    <t>BADAM RS:150 Rs 150</t>
  </si>
  <si>
    <t>40</t>
  </si>
  <si>
    <t>TEZ PATTA 50GM Rs 40</t>
  </si>
  <si>
    <t>41</t>
  </si>
  <si>
    <t>ANAR DANA RS:50 Rs 50</t>
  </si>
  <si>
    <t>42</t>
  </si>
  <si>
    <t>HALDI RS:50 Rs 50</t>
  </si>
  <si>
    <t>43</t>
  </si>
  <si>
    <t>MIRCH KUTWAN 100GM Rs 100</t>
  </si>
  <si>
    <t>44</t>
  </si>
  <si>
    <t>MIRCH KHALIS 100GM Rs 100</t>
  </si>
  <si>
    <t>45</t>
  </si>
  <si>
    <t>MEETHA SODA RS 20 Rs 20</t>
  </si>
  <si>
    <t>46</t>
  </si>
  <si>
    <t>KACHI TOTA 1KG Rs 160</t>
  </si>
  <si>
    <t>SUGAR</t>
  </si>
  <si>
    <t>013</t>
  </si>
  <si>
    <t>BROWN SUGAR 500G Rs 125</t>
  </si>
  <si>
    <t>47</t>
  </si>
  <si>
    <t>SUGAR 500GM Rs 100</t>
  </si>
  <si>
    <t>48</t>
  </si>
  <si>
    <t>SUGAR 1KG Rs 160</t>
  </si>
  <si>
    <t>49</t>
  </si>
  <si>
    <t>SUGAR 2KG Rs 320</t>
  </si>
  <si>
    <t>FRUITIEN JUICE</t>
  </si>
  <si>
    <t>8964000876435</t>
  </si>
  <si>
    <t>FRUITIEN MANGO Rs 240</t>
  </si>
  <si>
    <t>MUX &amp; GOLD</t>
  </si>
  <si>
    <t>0753692069144</t>
  </si>
  <si>
    <t>STEEL SOOBI Rs 60</t>
  </si>
  <si>
    <t>5786432256196</t>
  </si>
  <si>
    <t>BABY LOTION 80ML Rs 325</t>
  </si>
  <si>
    <t>LAZIZA</t>
  </si>
  <si>
    <t>5028217001080</t>
  </si>
  <si>
    <t>LAZIZA GAJAR KHEER Rs 150</t>
  </si>
  <si>
    <t>0028</t>
  </si>
  <si>
    <t>SHOE BRUSH Rs 180</t>
  </si>
  <si>
    <t>043297011250</t>
  </si>
  <si>
    <t>TOSHIBA LARGE CELL Rs 140</t>
  </si>
  <si>
    <t>1916163205659</t>
  </si>
  <si>
    <t>FRUIT COCKTAIL 545GM Rs 500</t>
  </si>
  <si>
    <t>4384391888437</t>
  </si>
  <si>
    <t>4904530591419</t>
  </si>
  <si>
    <t>TOSHIBA CLOCK CELL Rs 40</t>
  </si>
  <si>
    <t>5545845845126</t>
  </si>
  <si>
    <t>COCO POWDER Rs 180</t>
  </si>
  <si>
    <t>6281014441162</t>
  </si>
  <si>
    <t>COCO POWDER Rs 200</t>
  </si>
  <si>
    <t>6926292553045</t>
  </si>
  <si>
    <t>NAIL CUTTER Rs 160</t>
  </si>
  <si>
    <t>729193000269</t>
  </si>
  <si>
    <t>FOOT FILLER Rs 100</t>
  </si>
  <si>
    <t>8801038123097</t>
  </si>
  <si>
    <t>EYEBROW RAZOR Rs 120</t>
  </si>
  <si>
    <t>8962222014123</t>
  </si>
  <si>
    <t>TIGER POWDER Rs 60</t>
  </si>
  <si>
    <t>8964000045220</t>
  </si>
  <si>
    <t>HAIRWELL 02 Rs 80</t>
  </si>
  <si>
    <t>8964000064221</t>
  </si>
  <si>
    <t>FAUJI BARLEY PORRIDGE Rs 280</t>
  </si>
  <si>
    <t>8964000578452</t>
  </si>
  <si>
    <t>SKIN WHITE SOAP Rs 150</t>
  </si>
  <si>
    <t>8966000062108</t>
  </si>
  <si>
    <t>SHOE SHINER BLACK Rs 150</t>
  </si>
  <si>
    <t>8966000062184</t>
  </si>
  <si>
    <t>SHOE SHINER NATURAL Rs 150</t>
  </si>
  <si>
    <t>8966000062191</t>
  </si>
  <si>
    <t>IZZY SOOBI Rs 60</t>
  </si>
  <si>
    <t>9783951261898</t>
  </si>
  <si>
    <t>TOILET CLEANER 600ML Rs 130</t>
  </si>
  <si>
    <t>9783951262789</t>
  </si>
  <si>
    <t>TOILET CLEANER 400ML Rs 100</t>
  </si>
  <si>
    <t>COKE</t>
  </si>
  <si>
    <t>1951</t>
  </si>
  <si>
    <t>NEXT COLA PET 1.5L Rs 800</t>
  </si>
  <si>
    <t>5449000051981</t>
  </si>
  <si>
    <t>COKE PET Rs 1000</t>
  </si>
  <si>
    <t>ACID</t>
  </si>
  <si>
    <t>TARA</t>
  </si>
  <si>
    <t>58</t>
  </si>
  <si>
    <t>HARPIC</t>
  </si>
  <si>
    <t>6001106114619</t>
  </si>
  <si>
    <t>HARPIC 225 ML Rs 200</t>
  </si>
  <si>
    <t>8961101231552</t>
  </si>
  <si>
    <t>HARPIC 125ML Rs 130</t>
  </si>
  <si>
    <t>8964002686148</t>
  </si>
  <si>
    <t>HARPIC 750ML Rs 800</t>
  </si>
  <si>
    <t>8964002686179</t>
  </si>
  <si>
    <t>HARPIC 1L Rs 1050</t>
  </si>
  <si>
    <t>8964002686858</t>
  </si>
  <si>
    <t>HARPIC 450ML Rs 475</t>
  </si>
  <si>
    <t>8964002686919</t>
  </si>
  <si>
    <t>HARPIC 225ML Rs 200</t>
  </si>
  <si>
    <t>FINE</t>
  </si>
  <si>
    <t>3656568979554</t>
  </si>
  <si>
    <t>FINE NEEL Rs 60</t>
  </si>
  <si>
    <t>8886950156668</t>
  </si>
  <si>
    <t>FINE BLEACH 500ML Rs 100</t>
  </si>
  <si>
    <t>KINGTOX</t>
  </si>
  <si>
    <t>6001106309732</t>
  </si>
  <si>
    <t>CHERRY B SMALL Rs 280</t>
  </si>
  <si>
    <t>689076783170</t>
  </si>
  <si>
    <t>KINGTOX 400ML Rs 550</t>
  </si>
  <si>
    <t>689076783378</t>
  </si>
  <si>
    <t>KINGTOX 300ML Rs 440</t>
  </si>
  <si>
    <t>6924012280158</t>
  </si>
  <si>
    <t>TIGER SPRAY Rs 380</t>
  </si>
  <si>
    <t>718122103010</t>
  </si>
  <si>
    <t>FIGHTER SPRAY Rs 330</t>
  </si>
  <si>
    <t>TIGER</t>
  </si>
  <si>
    <t>2235693268552</t>
  </si>
  <si>
    <t>TIGER REFILL Rs 160</t>
  </si>
  <si>
    <t>2235693268569</t>
  </si>
  <si>
    <t>TIGER E MACHINE KIT Rs 350</t>
  </si>
  <si>
    <t>8962222014017</t>
  </si>
  <si>
    <t>TIGER COIL Rs 80</t>
  </si>
  <si>
    <t>8962222014031</t>
  </si>
  <si>
    <t>TIGER COIL Rs 100</t>
  </si>
  <si>
    <t>8966000041349</t>
  </si>
  <si>
    <t>MORTEIN MACHINE KIT Rs 600</t>
  </si>
  <si>
    <t>110001175802</t>
  </si>
  <si>
    <t>TARA PHENYLE 3L Rs 250</t>
  </si>
  <si>
    <t>1100011758262</t>
  </si>
  <si>
    <t>TARA TEZAB 250ML Rs 100</t>
  </si>
  <si>
    <t>110001175828</t>
  </si>
  <si>
    <t>TARA TEZAB 500ML Rs 130</t>
  </si>
  <si>
    <t>1100017582632</t>
  </si>
  <si>
    <t>TARA DW RED Rs 260</t>
  </si>
  <si>
    <t>1100017582670</t>
  </si>
  <si>
    <t>TARA HANDWASH G Rs 280</t>
  </si>
  <si>
    <t>1100017582687</t>
  </si>
  <si>
    <t>TARA DW LIQ 250ML Rs 200</t>
  </si>
  <si>
    <t>1100017582694</t>
  </si>
  <si>
    <t>TARA DW LIQ 500ML Rs 220</t>
  </si>
  <si>
    <t>110012179509</t>
  </si>
  <si>
    <t>TARA AMLA OIL Rs 420</t>
  </si>
  <si>
    <t>1100121795102</t>
  </si>
  <si>
    <t>TARA COCO OIL Rs 420</t>
  </si>
  <si>
    <t>1100121795119</t>
  </si>
  <si>
    <t>TARAMIRA OIL Rs 0</t>
  </si>
  <si>
    <t>1100121795133</t>
  </si>
  <si>
    <t>TARA MUSTARD OIL Rs 0</t>
  </si>
  <si>
    <t>STATIONARY</t>
  </si>
  <si>
    <t>REHMAT</t>
  </si>
  <si>
    <t>POUCH</t>
  </si>
  <si>
    <t>KACHI BASMATI 1KG Rs 320</t>
  </si>
  <si>
    <t>STEPLER</t>
  </si>
  <si>
    <t>6921734902214</t>
  </si>
  <si>
    <t>STEPLER BAHADUR N-221 Rs 340</t>
  </si>
  <si>
    <t>6921734903068</t>
  </si>
  <si>
    <t>STEPLER 0306 Rs 600</t>
  </si>
  <si>
    <t>6943788910168</t>
  </si>
  <si>
    <t>STEPLER BAHADUR N-10 Rs 300</t>
  </si>
  <si>
    <t>PUNCH MACHINE</t>
  </si>
  <si>
    <t>6943788910014</t>
  </si>
  <si>
    <t>PAPER PUNCH MACHINE Rs 420</t>
  </si>
  <si>
    <t>60</t>
  </si>
  <si>
    <t>DAAL MASH 500GM Rs 240</t>
  </si>
  <si>
    <t>61</t>
  </si>
  <si>
    <t>DAAL MOONG 500GM Rs 200</t>
  </si>
  <si>
    <t>63</t>
  </si>
  <si>
    <t>SHOPNER</t>
  </si>
  <si>
    <t>8964001268758</t>
  </si>
  <si>
    <t>SHOPNER 5WALA Rs 5</t>
  </si>
  <si>
    <t>64</t>
  </si>
  <si>
    <t>POINTER</t>
  </si>
  <si>
    <t>695240210342</t>
  </si>
  <si>
    <t>DOLLOR POINTER Rs 30</t>
  </si>
  <si>
    <t>65</t>
  </si>
  <si>
    <t>BALL PEN</t>
  </si>
  <si>
    <t>8964002507122</t>
  </si>
  <si>
    <t>BRITO BLUE BALL PEN Rs 20</t>
  </si>
  <si>
    <t>DASTA</t>
  </si>
  <si>
    <t>54</t>
  </si>
  <si>
    <t>BADAR SOAP Rs 70</t>
  </si>
  <si>
    <t>56</t>
  </si>
  <si>
    <t>DASTA B-5 50WALA Rs 50</t>
  </si>
  <si>
    <t>LED PENCIL</t>
  </si>
  <si>
    <t>55</t>
  </si>
  <si>
    <t>LED PENCIL RUBBER WALI Rs 10</t>
  </si>
  <si>
    <t>8964001269373</t>
  </si>
  <si>
    <t>BRITO LED TRIANGLE PENCIL Rs 20</t>
  </si>
  <si>
    <t>MARKER</t>
  </si>
  <si>
    <t>8964001268826</t>
  </si>
  <si>
    <t>PERMANENT MARKER Rs 50</t>
  </si>
  <si>
    <t>70</t>
  </si>
  <si>
    <t>INK</t>
  </si>
  <si>
    <t>abc Rs 0</t>
  </si>
  <si>
    <t>6233375272701</t>
  </si>
  <si>
    <t>NAFEES INK Rs 15</t>
  </si>
  <si>
    <t>695240105037</t>
  </si>
  <si>
    <t>INK BOARD MARKER Rs 100</t>
  </si>
  <si>
    <t>695240201579</t>
  </si>
  <si>
    <t>DOLLOR INK RS:50 Rs 50</t>
  </si>
  <si>
    <t>72</t>
  </si>
  <si>
    <t>RUBBER</t>
  </si>
  <si>
    <t>742761777165</t>
  </si>
  <si>
    <t>BAHADUR RUBBER B-45 Rs 10</t>
  </si>
  <si>
    <t>742761777271</t>
  </si>
  <si>
    <t>RUBBER DIL WALI Rs 5</t>
  </si>
  <si>
    <t>LAUNDRY</t>
  </si>
  <si>
    <t>KOLSON</t>
  </si>
  <si>
    <t>SUNLIGHT</t>
  </si>
  <si>
    <t>8961014256000</t>
  </si>
  <si>
    <t>SUNLIGHT P RS 10 Rs 10</t>
  </si>
  <si>
    <t>SUNLIGHT NP 1KG Rs 270</t>
  </si>
  <si>
    <t>8961014265248</t>
  </si>
  <si>
    <t>8961014265293</t>
  </si>
  <si>
    <t>SUNLIGHT G RS:50 Rs 50</t>
  </si>
  <si>
    <t>8961014265309</t>
  </si>
  <si>
    <t>SUNLIGHT P RS :50 Rs 50</t>
  </si>
  <si>
    <t>8961014265354</t>
  </si>
  <si>
    <t>SUNLIGHT 390G Rs 100</t>
  </si>
  <si>
    <t>EXPRESS</t>
  </si>
  <si>
    <t>8886950012520</t>
  </si>
  <si>
    <t>EXPRESS 500G Rs 215</t>
  </si>
  <si>
    <t>8886950012537</t>
  </si>
  <si>
    <t>EXPRESS 1KG Rs 400</t>
  </si>
  <si>
    <t>BONUS</t>
  </si>
  <si>
    <t>8886950013992</t>
  </si>
  <si>
    <t>BONUS 1KG Rs 230</t>
  </si>
  <si>
    <t>8886950014357</t>
  </si>
  <si>
    <t>BONUS RED 750G Rs 225</t>
  </si>
  <si>
    <t>SURF EXCEL</t>
  </si>
  <si>
    <t>8961014247015</t>
  </si>
  <si>
    <t>COMFORT 200ML Rs 250</t>
  </si>
  <si>
    <t>SURF EXCEL RS 50 Rs 50</t>
  </si>
  <si>
    <t>SURF EXCEL RS 10 Rs 10</t>
  </si>
  <si>
    <t>8961014261363</t>
  </si>
  <si>
    <t>RIN 1KG Rs 400</t>
  </si>
  <si>
    <t>8961014264760</t>
  </si>
  <si>
    <t>8961014265507</t>
  </si>
  <si>
    <t>8961014265538</t>
  </si>
  <si>
    <t>SURF EXCEL 2KG SAVE100 Rs 1100</t>
  </si>
  <si>
    <t>8961014266412</t>
  </si>
  <si>
    <t>SURF EXCEL 750G Rs 400</t>
  </si>
  <si>
    <t>8961014266511</t>
  </si>
  <si>
    <t>SURF EXCEL W 500G Rs 300</t>
  </si>
  <si>
    <t>8961014266528</t>
  </si>
  <si>
    <t>SURF EXCEL W 1KG Rs 600</t>
  </si>
  <si>
    <t>8961014268850</t>
  </si>
  <si>
    <t>SURF EXCEL 1KG CP 550 Rs 550</t>
  </si>
  <si>
    <t>8961014269062</t>
  </si>
  <si>
    <t>SURF EXCEL 500G Rs 275</t>
  </si>
  <si>
    <t>8961014261684</t>
  </si>
  <si>
    <t>RIN 500GM Rs 200</t>
  </si>
  <si>
    <t>HERO SURF</t>
  </si>
  <si>
    <t>8964001385028</t>
  </si>
  <si>
    <t>HERO 1KG Rs 220</t>
  </si>
  <si>
    <t>8964001385387</t>
  </si>
  <si>
    <t>HERO RS:50 Rs 50</t>
  </si>
  <si>
    <t>BRITE</t>
  </si>
  <si>
    <t>8886950015002</t>
  </si>
  <si>
    <t>BRITE RS:20 Rs 20</t>
  </si>
  <si>
    <t>8886950015255</t>
  </si>
  <si>
    <t>BRITE 500GM CP Rs 275</t>
  </si>
  <si>
    <t>8886950016009</t>
  </si>
  <si>
    <t>BRITE RS 50 Rs 50</t>
  </si>
  <si>
    <t>8886950018003</t>
  </si>
  <si>
    <t>BRITE 1KG Rs 600</t>
  </si>
  <si>
    <t>MAGIC</t>
  </si>
  <si>
    <t>1456887225231</t>
  </si>
  <si>
    <t>MAGIC 1KG Rs 300</t>
  </si>
  <si>
    <t>1456887225286</t>
  </si>
  <si>
    <t>MAGIC WASHING Rs 100</t>
  </si>
  <si>
    <t>8964000869000</t>
  </si>
  <si>
    <t>MAGIC WASHING RS 100 Rs 95</t>
  </si>
  <si>
    <t>NOVA</t>
  </si>
  <si>
    <t>8960090000040</t>
  </si>
  <si>
    <t>NOVA DISHWASH RS20 Rs 20</t>
  </si>
  <si>
    <t>8960090000194</t>
  </si>
  <si>
    <t>NOVA DW GELL 500ML Rs 300</t>
  </si>
  <si>
    <t>8960090000200</t>
  </si>
  <si>
    <t>NOVA D WASH GELL Rs 160</t>
  </si>
  <si>
    <t>8960090000286</t>
  </si>
  <si>
    <t>NOVA WHITE 120GM Rs 120</t>
  </si>
  <si>
    <t>8960090000422</t>
  </si>
  <si>
    <t>NOVA ROSE SOAP Rs 120</t>
  </si>
  <si>
    <t>POPULAR</t>
  </si>
  <si>
    <t>788364694041</t>
  </si>
  <si>
    <t>788364694058</t>
  </si>
  <si>
    <t>788364694102</t>
  </si>
  <si>
    <t>POPULAR 430G Rs 100</t>
  </si>
  <si>
    <t>788364694119</t>
  </si>
  <si>
    <t>POPULAR 1KG Rs 230</t>
  </si>
  <si>
    <t>788364694225</t>
  </si>
  <si>
    <t>ARIEL</t>
  </si>
  <si>
    <t>8700216736817</t>
  </si>
  <si>
    <t>ARIEL 500G Rs 290</t>
  </si>
  <si>
    <t>RAZOR</t>
  </si>
  <si>
    <t>TREET CORPORATION</t>
  </si>
  <si>
    <t>TREET BLADE</t>
  </si>
  <si>
    <t>073982206807</t>
  </si>
  <si>
    <t>TREET HYGIENE RAZOR Rs 50</t>
  </si>
  <si>
    <t>2554755699852</t>
  </si>
  <si>
    <t>TREEL RAZOR Rs 30</t>
  </si>
  <si>
    <t>3014260316648</t>
  </si>
  <si>
    <t>7 OCLOCK Rs 80</t>
  </si>
  <si>
    <t>7389880827253</t>
  </si>
  <si>
    <t>TRIM RAZOR Rs 60</t>
  </si>
  <si>
    <t>7398220003295</t>
  </si>
  <si>
    <t>PLATINUM DABBI Rs 100</t>
  </si>
  <si>
    <t>7398222201439</t>
  </si>
  <si>
    <t>TREET BLADE BLACK Rs 75</t>
  </si>
  <si>
    <t>8964000767108</t>
  </si>
  <si>
    <t>TREET 5 IN ONE Rs 150</t>
  </si>
  <si>
    <t>8964000768471</t>
  </si>
  <si>
    <t>TREET 3 BLADES Rs 150</t>
  </si>
  <si>
    <t>8964000768983</t>
  </si>
  <si>
    <t>SHAVING FOAM Rs 499</t>
  </si>
  <si>
    <t>SKIN CLEANSING</t>
  </si>
  <si>
    <t>LIFE BUOY SOAP</t>
  </si>
  <si>
    <t>8961014255799</t>
  </si>
  <si>
    <t>LB HANDWASH TOT 200ML Rs 280</t>
  </si>
  <si>
    <t>8961014262919</t>
  </si>
  <si>
    <t>LB CARE 130G Rs 125</t>
  </si>
  <si>
    <t>8961014263725</t>
  </si>
  <si>
    <t>LB RED 70G Rs 70</t>
  </si>
  <si>
    <t>8961014263749</t>
  </si>
  <si>
    <t>LB GREEN 70G Rs 70</t>
  </si>
  <si>
    <t>8961014264579</t>
  </si>
  <si>
    <t>LB LF 100G Rs 100</t>
  </si>
  <si>
    <t>8961014264630</t>
  </si>
  <si>
    <t>LB RED 130G Rs 125</t>
  </si>
  <si>
    <t>8961014267372</t>
  </si>
  <si>
    <t>LB CARE 123G Rs 130</t>
  </si>
  <si>
    <t>TIBBET</t>
  </si>
  <si>
    <t>8961100001019</t>
  </si>
  <si>
    <t>TIBBET CREAM ORIGINAL Rs 220</t>
  </si>
  <si>
    <t>8964001024033</t>
  </si>
  <si>
    <t>TIBBET SOAP FAMILY SIZE Rs 100</t>
  </si>
  <si>
    <t>PALMOLIVE</t>
  </si>
  <si>
    <t>8886950031842</t>
  </si>
  <si>
    <t>PALMOLIVE Y 98GM Rs 118</t>
  </si>
  <si>
    <t>8886950031859</t>
  </si>
  <si>
    <t>PALMOLIVE G RS 99 Rs 118</t>
  </si>
  <si>
    <t>8886950031866</t>
  </si>
  <si>
    <t>PALMOLIVE 98GM Rs 118</t>
  </si>
  <si>
    <t>8886950031880</t>
  </si>
  <si>
    <t>PALMOLIVE 130GM Rs 148</t>
  </si>
  <si>
    <t>8886950031897</t>
  </si>
  <si>
    <t>PALMOLIVE GREEN 130GM Rs 148</t>
  </si>
  <si>
    <t>8886950031903</t>
  </si>
  <si>
    <t>PALMOLIVE O 130GM Rs 148</t>
  </si>
  <si>
    <t>8886950031910</t>
  </si>
  <si>
    <t>8886950031927</t>
  </si>
  <si>
    <t>PALOMOLIVE BLACK 130GM Rs 148</t>
  </si>
  <si>
    <t>SAFEGUARD</t>
  </si>
  <si>
    <t>8001841420677</t>
  </si>
  <si>
    <t>SAFEGUARD W 125GM Rs 175</t>
  </si>
  <si>
    <t>LUX</t>
  </si>
  <si>
    <t>8961014255065</t>
  </si>
  <si>
    <t>LUX WHITE 50GM Rs 70</t>
  </si>
  <si>
    <t>8961014255072</t>
  </si>
  <si>
    <t>LUX PINK MINI Rs 70</t>
  </si>
  <si>
    <t>8961014255126</t>
  </si>
  <si>
    <t>LUX GREEN 100GM Rs 130</t>
  </si>
  <si>
    <t>8961014255164</t>
  </si>
  <si>
    <t>LUX GREEN 130GM Rs 150</t>
  </si>
  <si>
    <t>8961014257472</t>
  </si>
  <si>
    <t>LUX W 170G Rs 180</t>
  </si>
  <si>
    <t>LUX PINK 170G Rs 180</t>
  </si>
  <si>
    <t>8961014265224</t>
  </si>
  <si>
    <t>LUX ORANG 100G Rs 120</t>
  </si>
  <si>
    <t>8961014268348</t>
  </si>
  <si>
    <t>LUX W 130G Rs 150</t>
  </si>
  <si>
    <t>8961014268355</t>
  </si>
  <si>
    <t>LUX PINK 130G Rs 150</t>
  </si>
  <si>
    <t>8961014268409</t>
  </si>
  <si>
    <t>8961014268454</t>
  </si>
  <si>
    <t>LUX TRY W Rs 420</t>
  </si>
  <si>
    <t>8961014268478</t>
  </si>
  <si>
    <t>LUX TRY PINK Rs 420</t>
  </si>
  <si>
    <t>OPAL</t>
  </si>
  <si>
    <t>8961100022533</t>
  </si>
  <si>
    <t>CAPRI JASMINE 120GM Rs 140</t>
  </si>
  <si>
    <t>8961100022540</t>
  </si>
  <si>
    <t>CAPRI ROSE 120GM Rs 140</t>
  </si>
  <si>
    <t>8961100022694</t>
  </si>
  <si>
    <t>OPAL PINK Rs 225</t>
  </si>
  <si>
    <t>8961100022991</t>
  </si>
  <si>
    <t>CAPRI PURPLE 120GM Rs 140</t>
  </si>
  <si>
    <t>8961100023271</t>
  </si>
  <si>
    <t>OPAL GREEN Rs 199</t>
  </si>
  <si>
    <t>CAPRI</t>
  </si>
  <si>
    <t>8961100022564</t>
  </si>
  <si>
    <t>CAPRI BLUE Rs 140</t>
  </si>
  <si>
    <t>SNAKS</t>
  </si>
  <si>
    <t>PEPSI COLA INTERNATIONAL</t>
  </si>
  <si>
    <t>LAYS</t>
  </si>
  <si>
    <t>8964000090596</t>
  </si>
  <si>
    <t>LAYS SALT 12GM Rs 20</t>
  </si>
  <si>
    <t>8964000090602</t>
  </si>
  <si>
    <t>LAYS MASALA RS 20 Rs 20</t>
  </si>
  <si>
    <t>8964000090619</t>
  </si>
  <si>
    <t>LAYS FRENCHEESE RS 20 Rs 20</t>
  </si>
  <si>
    <t>8964000103784</t>
  </si>
  <si>
    <t>LAYS YOGURT RS 20 Rs 20</t>
  </si>
  <si>
    <t>8964002345588</t>
  </si>
  <si>
    <t>LAYS SALTY RS:50 Rs 50</t>
  </si>
  <si>
    <t>8964002345601</t>
  </si>
  <si>
    <t>LAYS FRENCHEES RS:50 Rs 50</t>
  </si>
  <si>
    <t>8964002345625</t>
  </si>
  <si>
    <t>LAYS YOGURTS RS 50 Rs 50</t>
  </si>
  <si>
    <t>8964002346905</t>
  </si>
  <si>
    <t>LAYS YOGURTS RS:70 Rs 70</t>
  </si>
  <si>
    <t>COOKING OIL</t>
  </si>
  <si>
    <t>YOUNGS</t>
  </si>
  <si>
    <t>DALDA</t>
  </si>
  <si>
    <t>8961100502813</t>
  </si>
  <si>
    <t>DALDA OIL 1L Rs 590</t>
  </si>
  <si>
    <t>SULTAN GHEE</t>
  </si>
  <si>
    <t>8964000140789</t>
  </si>
  <si>
    <t>NEEL PARI SOAP 200GM X 4 Rs 220</t>
  </si>
  <si>
    <t>8964000686751</t>
  </si>
  <si>
    <t>SULTAN PINK SALT Rs 90</t>
  </si>
  <si>
    <t>8964000686782</t>
  </si>
  <si>
    <t>SULTAN GHEE 1KG Rs 540</t>
  </si>
  <si>
    <t>8964000686874</t>
  </si>
  <si>
    <t>SULTAN GHEE 500GM Rs 270</t>
  </si>
  <si>
    <t>8964000686881</t>
  </si>
  <si>
    <t>SULTAN GHEE 250GM Rs 135</t>
  </si>
  <si>
    <t>SULTAN OIL</t>
  </si>
  <si>
    <t>8964000686355</t>
  </si>
  <si>
    <t>SULTAN MUSTARD OIL 250ML Rs 150</t>
  </si>
  <si>
    <t>8964000686577</t>
  </si>
  <si>
    <t>SULTAN MUSTAR OIL 125ML Rs 80</t>
  </si>
  <si>
    <t>8964000686744</t>
  </si>
  <si>
    <t>SULTAN COOKING BOTTLE Rs 480</t>
  </si>
  <si>
    <t>8964000686799</t>
  </si>
  <si>
    <t>SULTAN OIL 1 L Rs 550</t>
  </si>
  <si>
    <t>CONFECTIONERY</t>
  </si>
  <si>
    <t>SHAHI</t>
  </si>
  <si>
    <t>DAAL MOTH</t>
  </si>
  <si>
    <t>8964000598672</t>
  </si>
  <si>
    <t>DAAL MOTH RS 50 Rs 100</t>
  </si>
  <si>
    <t>ROYAL MIX</t>
  </si>
  <si>
    <t>8964000598696</t>
  </si>
  <si>
    <t>ROYAL MIX RS 50 Rs 50</t>
  </si>
  <si>
    <t>MUNCHY MIX</t>
  </si>
  <si>
    <t>8964003508203</t>
  </si>
  <si>
    <t>MUNCHY MIX RS 20 Rs 20</t>
  </si>
  <si>
    <t>BALY BALY</t>
  </si>
  <si>
    <t>8964000596616</t>
  </si>
  <si>
    <t>ITEMS RS 20 Rs 20</t>
  </si>
  <si>
    <t>AAS PASS</t>
  </si>
  <si>
    <t>8964003508265</t>
  </si>
  <si>
    <t>CHOCOLATE PAN MASALA RS 5 Rs 5</t>
  </si>
  <si>
    <t>SHAHI MEEVA</t>
  </si>
  <si>
    <t>8964000596043</t>
  </si>
  <si>
    <t>ITEMS RS:5 Rs 5</t>
  </si>
  <si>
    <t>ELAICHI</t>
  </si>
  <si>
    <t>19640008</t>
  </si>
  <si>
    <t>ELAICHI RS 5 Rs 5</t>
  </si>
  <si>
    <t>MEVA</t>
  </si>
  <si>
    <t>8964003508395</t>
  </si>
  <si>
    <t>MEETA PAN MASALA RS 5 Rs 5</t>
  </si>
  <si>
    <t>CHEWRA</t>
  </si>
  <si>
    <t>8966000002043</t>
  </si>
  <si>
    <t>CHEWRA RS 100 Rs 100</t>
  </si>
  <si>
    <t>DAAL MONG</t>
  </si>
  <si>
    <t>8966000001923</t>
  </si>
  <si>
    <t>DAAL MONG RS 100 Rs 95</t>
  </si>
  <si>
    <t>SALTED CHIPS</t>
  </si>
  <si>
    <t>8964000598665</t>
  </si>
  <si>
    <t>SALTED CHIPS RS 100 Rs 95</t>
  </si>
  <si>
    <t>DAAL CHANA</t>
  </si>
  <si>
    <t>8964000598115</t>
  </si>
  <si>
    <t>DAAL CHANA RS 100 Rs 95</t>
  </si>
  <si>
    <t>KHATTA  MEETHA MIX</t>
  </si>
  <si>
    <t>8964000596814</t>
  </si>
  <si>
    <t>KHATA MEETHA MIX RS 200 Rs 200</t>
  </si>
  <si>
    <t>MILK</t>
  </si>
  <si>
    <t>OLPER</t>
  </si>
  <si>
    <t>8964000346549</t>
  </si>
  <si>
    <t>OLPER 250ML Rs 100</t>
  </si>
  <si>
    <t>8964000346679</t>
  </si>
  <si>
    <t>OLPER 1 LTR Rs 380</t>
  </si>
  <si>
    <t>8964000919477</t>
  </si>
  <si>
    <t>OLPER 375ML Rs 130</t>
  </si>
  <si>
    <t>8964000919712</t>
  </si>
  <si>
    <t>OLPER CREAM Rs 250</t>
  </si>
  <si>
    <t>8964000919736</t>
  </si>
  <si>
    <t>DOBALA CREAM Rs 170</t>
  </si>
  <si>
    <t>8964002706181</t>
  </si>
  <si>
    <t>OLPER 500ML Rs 200</t>
  </si>
  <si>
    <t>FOODS</t>
  </si>
  <si>
    <t>NOODLE</t>
  </si>
  <si>
    <t>089686120660</t>
  </si>
  <si>
    <t>NOODLE CHICK CHAT 125GM Rs 90</t>
  </si>
  <si>
    <t>5285000396437</t>
  </si>
  <si>
    <t>NOODLE MEAT MASALA 70GM Rs 65</t>
  </si>
  <si>
    <t>8961014034912</t>
  </si>
  <si>
    <t>NOODLE CHAT RS 30 Rs 30</t>
  </si>
  <si>
    <t>8961014034981</t>
  </si>
  <si>
    <t>NOODLE BLAZIN Rs 175</t>
  </si>
  <si>
    <t>8961014038156</t>
  </si>
  <si>
    <t>NOODLE CHAT BUNDLE Rs 200</t>
  </si>
  <si>
    <t>8961014038163</t>
  </si>
  <si>
    <t>NOODLE G BUNDLE Rs 190</t>
  </si>
  <si>
    <t>8961014038194</t>
  </si>
  <si>
    <t>NOODLE CHIC RS:50 Rs 50</t>
  </si>
  <si>
    <t>8961014038200</t>
  </si>
  <si>
    <t>NOODLE RED RS:50 Rs 50</t>
  </si>
  <si>
    <t>8961014038361</t>
  </si>
  <si>
    <t>NOODLE FM 99 Rs 100</t>
  </si>
  <si>
    <t>8961014038385</t>
  </si>
  <si>
    <t>NOODLE CHAT RS:35 Rs 35</t>
  </si>
  <si>
    <t>SAHI NIMKO</t>
  </si>
  <si>
    <t>8964000596722</t>
  </si>
  <si>
    <t>BALCK PAPER CHIPS Rs 30</t>
  </si>
  <si>
    <t>8964000597705</t>
  </si>
  <si>
    <t>SN DAAL MOONG Rs 30</t>
  </si>
  <si>
    <t>8964000597712</t>
  </si>
  <si>
    <t>SN ROYAL MIX Rs 30</t>
  </si>
  <si>
    <t>8964003508401</t>
  </si>
  <si>
    <t>PEANUT 30WALI Rs 30</t>
  </si>
  <si>
    <t>RIO</t>
  </si>
  <si>
    <t>8964002527182</t>
  </si>
  <si>
    <t>RIO SV HR Rs 310</t>
  </si>
  <si>
    <t>8964002527205</t>
  </si>
  <si>
    <t>RIO DOUBLE CHOCLATE HR Rs 310</t>
  </si>
  <si>
    <t>8964003590772</t>
  </si>
  <si>
    <t>RIO SV TP Rs 230</t>
  </si>
  <si>
    <t>8964003590802</t>
  </si>
  <si>
    <t>RIO SV MP Rs 350</t>
  </si>
  <si>
    <t>8964003590819</t>
  </si>
  <si>
    <t>RIO SV SP Rs 310</t>
  </si>
  <si>
    <t>CHOCLATE</t>
  </si>
  <si>
    <t>8964002527229</t>
  </si>
  <si>
    <t>CHOCLATE SANDWICH HR Rs 310</t>
  </si>
  <si>
    <t>LEMON BISCUITS</t>
  </si>
  <si>
    <t>8964002527212</t>
  </si>
  <si>
    <t>LEMON SANDWICH HR Rs 310</t>
  </si>
  <si>
    <t>8964003590789</t>
  </si>
  <si>
    <t>LEMON SANDWICH TP Rs 230</t>
  </si>
  <si>
    <t>PEANUT</t>
  </si>
  <si>
    <t>8964002526550</t>
  </si>
  <si>
    <t>PEANUT PICK 30WALA Rs 350</t>
  </si>
  <si>
    <t>8964003508425</t>
  </si>
  <si>
    <t>PEANUT RS:50 Rs 50</t>
  </si>
  <si>
    <t>8964003590734</t>
  </si>
  <si>
    <t>PEANUT PICK TP Rs 230</t>
  </si>
  <si>
    <t>PARTI</t>
  </si>
  <si>
    <t>8964002526598</t>
  </si>
  <si>
    <t>PARTI PICK MP 30WALA Rs 350</t>
  </si>
  <si>
    <t>8964002527298</t>
  </si>
  <si>
    <t>PARTI PICK HR Rs 310</t>
  </si>
  <si>
    <t>CHOCO</t>
  </si>
  <si>
    <t>8964002527465</t>
  </si>
  <si>
    <t>CHOCO LAVA MP 30WALA Rs 230</t>
  </si>
  <si>
    <t>8964002759514</t>
  </si>
  <si>
    <t>CHOCO BITES DC MP Rs 230</t>
  </si>
  <si>
    <t>8964002759552</t>
  </si>
  <si>
    <t>CHOCO LICIOUS CC MP 30WALA Rs 230</t>
  </si>
  <si>
    <t>SOOPER</t>
  </si>
  <si>
    <t>8964002526116</t>
  </si>
  <si>
    <t>SOOPER CLASIC CHOC SP Rs 310</t>
  </si>
  <si>
    <t>KATCHUP</t>
  </si>
  <si>
    <t>8961014032130</t>
  </si>
  <si>
    <t>KATCHUP 400GM Rs 250</t>
  </si>
  <si>
    <t>8961014032147</t>
  </si>
  <si>
    <t>CHILI G 400GM Rs 250</t>
  </si>
  <si>
    <t>KNORR KETCHUP 190G Rs 130</t>
  </si>
  <si>
    <t>8961014034813</t>
  </si>
  <si>
    <t>WHEAT PORRIDGE</t>
  </si>
  <si>
    <t>8964000064177</t>
  </si>
  <si>
    <t>FAUJI DALYA 100gm Rs 120</t>
  </si>
  <si>
    <t>NATIONAL JAM</t>
  </si>
  <si>
    <t>620514001937</t>
  </si>
  <si>
    <t>NATIONAL JAM MANG 400GM Rs 340</t>
  </si>
  <si>
    <t>CORN FLR</t>
  </si>
  <si>
    <t>8961014018233</t>
  </si>
  <si>
    <t>CORN FLR 275GM Rs 190</t>
  </si>
  <si>
    <t>CUSTARD</t>
  </si>
  <si>
    <t>8961014018158</t>
  </si>
  <si>
    <t>CUSTARD VANILA 45GM Rs 50</t>
  </si>
  <si>
    <t>8961014018165</t>
  </si>
  <si>
    <t>CUSTARD STR 45GM Rs 50</t>
  </si>
  <si>
    <t>8961014018172</t>
  </si>
  <si>
    <t>CUSTARD MNG 45G Rs 50</t>
  </si>
  <si>
    <t>8961014018196</t>
  </si>
  <si>
    <t>CUS VAN 275GM Rs 220</t>
  </si>
  <si>
    <t>8961014018202</t>
  </si>
  <si>
    <t>CUST STRABERRY 275GM Rs 220</t>
  </si>
  <si>
    <t>8961014018219</t>
  </si>
  <si>
    <t>CUST MANG 275GM Rs 220</t>
  </si>
  <si>
    <t>8964000064153</t>
  </si>
  <si>
    <t>FAUJI DALYA 250GM Rs 280</t>
  </si>
  <si>
    <t>ICE CREAM</t>
  </si>
  <si>
    <t>8961014018240</t>
  </si>
  <si>
    <t>ICE CREAM 275GM Rs 220</t>
  </si>
  <si>
    <t>JELLY</t>
  </si>
  <si>
    <t>8961014008432</t>
  </si>
  <si>
    <t>JELLY BAN 80GM Rs 190</t>
  </si>
  <si>
    <t>8961014008487</t>
  </si>
  <si>
    <t>JELLY SBERRY 80GM Rs 190</t>
  </si>
  <si>
    <t>CERELAC</t>
  </si>
  <si>
    <t>8961008220345</t>
  </si>
  <si>
    <t>CERELAC 3F SACHET Rs 50</t>
  </si>
  <si>
    <t>EVERYDAY</t>
  </si>
  <si>
    <t>8961008217604</t>
  </si>
  <si>
    <t>EVERYDAY ORIGINAL 350GM Rs 750</t>
  </si>
  <si>
    <t>8961008219363</t>
  </si>
  <si>
    <t>EVERYDAY ORIGINAL 560GM Rs 1150</t>
  </si>
  <si>
    <t>8961008221700</t>
  </si>
  <si>
    <t>EVERYDAY SACHET Rs 30</t>
  </si>
  <si>
    <t>8961008221717</t>
  </si>
  <si>
    <t>EVERYDAY  230GM Rs 500</t>
  </si>
  <si>
    <t>NATIONAL ACHAR</t>
  </si>
  <si>
    <t>620514015705</t>
  </si>
  <si>
    <t>NATIONAL CRUSHED 750GM Rs 700</t>
  </si>
  <si>
    <t>BIRYANI</t>
  </si>
  <si>
    <t>620514000275</t>
  </si>
  <si>
    <t>NATIONAL BIRYANI Rs 150</t>
  </si>
  <si>
    <t>QORMA</t>
  </si>
  <si>
    <t>620514000565</t>
  </si>
  <si>
    <t>NATIONAL QORMA Rs 150</t>
  </si>
  <si>
    <t>KARAI</t>
  </si>
  <si>
    <t>620514000404</t>
  </si>
  <si>
    <t>NATIONAL KARAI Rs 150</t>
  </si>
  <si>
    <t>CHAT MASALA</t>
  </si>
  <si>
    <t>620514001029</t>
  </si>
  <si>
    <t>NATIONAL CHAT MASALA Rs 120</t>
  </si>
  <si>
    <t>YEAST</t>
  </si>
  <si>
    <t>078600607004</t>
  </si>
  <si>
    <t>078600626005</t>
  </si>
  <si>
    <t>YEAST SACHET Rs 50</t>
  </si>
  <si>
    <t>9788679912077</t>
  </si>
  <si>
    <t>YEAST SACHET Rs 40</t>
  </si>
  <si>
    <t>KOLY</t>
  </si>
  <si>
    <t>6788947656392</t>
  </si>
  <si>
    <t>PINEAPPLE SLICES Rs 500</t>
  </si>
  <si>
    <t>8854724200077</t>
  </si>
  <si>
    <t>COCKTAIL MIX 540G Rs 550</t>
  </si>
  <si>
    <t>8858871806939</t>
  </si>
  <si>
    <t>KOLY MIX FRUIT 227GM Rs 350</t>
  </si>
  <si>
    <t>8858871812084</t>
  </si>
  <si>
    <t>KOLY MIX FRUIT 565G Rs 550</t>
  </si>
  <si>
    <t>0001</t>
  </si>
  <si>
    <t>KEVERA Rs 120</t>
  </si>
  <si>
    <t>8964000061107</t>
  </si>
  <si>
    <t>YOUNGS MAYO 200GM Rs 180</t>
  </si>
  <si>
    <t>8964000061114</t>
  </si>
  <si>
    <t>YOUNGS MAYO 500GM Rs 380</t>
  </si>
  <si>
    <t>8964000061121</t>
  </si>
  <si>
    <t>YOUNGS MAYO 1L Rs 650</t>
  </si>
  <si>
    <t>8964000061169</t>
  </si>
  <si>
    <t>YOUNGS MAYO 100ML Rs 100</t>
  </si>
  <si>
    <t>8964000061183</t>
  </si>
  <si>
    <t>YOUNGS MAYO SACHET Rs 50</t>
  </si>
  <si>
    <t>8964000061534</t>
  </si>
  <si>
    <t>CHICKEN SPREAD 200G Rs 300</t>
  </si>
  <si>
    <t>8964000061558</t>
  </si>
  <si>
    <t>YOUNGS SPD SACHET Rs 50</t>
  </si>
  <si>
    <t>KOLSON PRODUCTS</t>
  </si>
  <si>
    <t>671866116664</t>
  </si>
  <si>
    <t>SLANTY BLUE RS20 Rs 20</t>
  </si>
  <si>
    <t>SPAGHETTI</t>
  </si>
  <si>
    <t>1358946337964</t>
  </si>
  <si>
    <t>SPAGHETTI 450GM ITALIAN Rs 220</t>
  </si>
  <si>
    <t>1358946338190</t>
  </si>
  <si>
    <t>BP CHINES NOODLS Rs 160</t>
  </si>
  <si>
    <t>MACARONI</t>
  </si>
  <si>
    <t>1111</t>
  </si>
  <si>
    <t>KAINAT ORIGINAL 2KG Rs 740</t>
  </si>
  <si>
    <t>1358946338404</t>
  </si>
  <si>
    <t>ELBOW MACARONI 400GM Rs 200</t>
  </si>
  <si>
    <t>1358946338572</t>
  </si>
  <si>
    <t>BIG ELBOW MACARONI 400GM Rs 200</t>
  </si>
  <si>
    <t>1358946338992</t>
  </si>
  <si>
    <t>TWISTED MACARONI 400GM Rs 200</t>
  </si>
  <si>
    <t>1358946339012</t>
  </si>
  <si>
    <t>SHELL MACARONI 400GM Rs 200</t>
  </si>
  <si>
    <t>1358946339180</t>
  </si>
  <si>
    <t>PENNE MACARONI 400GM Rs 200</t>
  </si>
  <si>
    <t>1358946343668</t>
  </si>
  <si>
    <t>MACARONI TIKKA 250GM Rs 150</t>
  </si>
  <si>
    <t>3572242274626</t>
  </si>
  <si>
    <t>ACHARI MACARONI 250GM Rs 150</t>
  </si>
  <si>
    <t>3575253739467</t>
  </si>
  <si>
    <t>BP JALREZI MACARONI 250GM Rs 150</t>
  </si>
  <si>
    <t>3575272462506</t>
  </si>
  <si>
    <t>BP CHICKEN LAZANIA 250GM Rs 210</t>
  </si>
  <si>
    <t>SAVIAN</t>
  </si>
  <si>
    <t>1358946340070</t>
  </si>
  <si>
    <t>COLOR SAVIAN 400GM Rs 140</t>
  </si>
  <si>
    <t>1358946340148</t>
  </si>
  <si>
    <t>COLOR SAVIAN 200GM Rs 70</t>
  </si>
  <si>
    <t>3570004726437</t>
  </si>
  <si>
    <t>BP SAVIAN 140G Rs 70</t>
  </si>
  <si>
    <t>3570011726437</t>
  </si>
  <si>
    <t>BP LUSH PUSH SAVIAN Rs 130</t>
  </si>
  <si>
    <t>3570127726437</t>
  </si>
  <si>
    <t>CUT SAVIAN 350GM Rs 90</t>
  </si>
  <si>
    <t>3577627837205</t>
  </si>
  <si>
    <t>BP ROASTED SAVIAN Rs 100</t>
  </si>
  <si>
    <t>620514019024</t>
  </si>
  <si>
    <t>NATIONAL SAVIAN Rs 80</t>
  </si>
  <si>
    <t>KNORRE CUBE</t>
  </si>
  <si>
    <t>8961014021608</t>
  </si>
  <si>
    <t>PULAO CUBE Rs 75</t>
  </si>
  <si>
    <t>8961014032901</t>
  </si>
  <si>
    <t>CHICKEN CUBE Rs 75</t>
  </si>
  <si>
    <t>8961014034196</t>
  </si>
  <si>
    <t>CHICKEN POWDER Rs 30</t>
  </si>
  <si>
    <t>COOKING</t>
  </si>
  <si>
    <t>KASHMIR BNASPATI</t>
  </si>
  <si>
    <t>8964000201107</t>
  </si>
  <si>
    <t>KASHMIR GHEE 500GM Rs 250</t>
  </si>
  <si>
    <t>8964000201237</t>
  </si>
  <si>
    <t>KASHMIR OIL 1L Rs 580</t>
  </si>
  <si>
    <t>ASIA BANASPATI</t>
  </si>
  <si>
    <t>01685893</t>
  </si>
  <si>
    <t>ASIA COOKING OIL Rs 450</t>
  </si>
  <si>
    <t>680168589199</t>
  </si>
  <si>
    <t>ASIA GHEE Rs 440</t>
  </si>
  <si>
    <t>8964001033233</t>
  </si>
  <si>
    <t>TOHFA BNASPATTI 1KG Rs 400</t>
  </si>
  <si>
    <t>SKIN CARE</t>
  </si>
  <si>
    <t>MASK</t>
  </si>
  <si>
    <t>2365472054455</t>
  </si>
  <si>
    <t>BLACK MASK BABA APPLE Rs 50</t>
  </si>
  <si>
    <t>HAIR REMOVER</t>
  </si>
  <si>
    <t>03058872366</t>
  </si>
  <si>
    <t>HAVI H/R 30 BABA Rs 30</t>
  </si>
  <si>
    <t>1224463116620</t>
  </si>
  <si>
    <t>UBTAN MULTANI MITTI Rs 50</t>
  </si>
  <si>
    <t>230062603913</t>
  </si>
  <si>
    <t>BABA L&amp;H FINGER WAX Rs 250</t>
  </si>
  <si>
    <t>230062603914</t>
  </si>
  <si>
    <t>BABA CHARCOL FINGER WAX Rs 250</t>
  </si>
  <si>
    <t>23453144343</t>
  </si>
  <si>
    <t>BABA BLUE BLEACH 80 Rs 80</t>
  </si>
  <si>
    <t>4563214589427</t>
  </si>
  <si>
    <t>HALDI CHANDAN BLEACH Rs 80</t>
  </si>
  <si>
    <t>6009679060999</t>
  </si>
  <si>
    <t>VANISHING CREAM 35ML Rs 200</t>
  </si>
  <si>
    <t>6009679062573</t>
  </si>
  <si>
    <t>HAIR REMOVER R SACHET Rs 50</t>
  </si>
  <si>
    <t>6009679062580</t>
  </si>
  <si>
    <t>HAIR REMOVER LEMON SACHET Rs 40</t>
  </si>
  <si>
    <t>6009679064669</t>
  </si>
  <si>
    <t>HAIR REMOVER R LARGE 80ML Rs 230</t>
  </si>
  <si>
    <t>SOFT SHINE REMOVE SACHET 30 Rs 30</t>
  </si>
  <si>
    <t>BABA APPLE BLEACH RS30 Rs 30</t>
  </si>
  <si>
    <t>9230164223385</t>
  </si>
  <si>
    <t>BABA HAND &amp; FOOT BLEACH Rs 80</t>
  </si>
  <si>
    <t>9230513700000</t>
  </si>
  <si>
    <t>BABA BLEACH BLACK 50 Rs 50</t>
  </si>
  <si>
    <t>FACIAL</t>
  </si>
  <si>
    <t>023453144343</t>
  </si>
  <si>
    <t>BABA BLUE BLEACH Rs 80</t>
  </si>
  <si>
    <t>2347987808983</t>
  </si>
  <si>
    <t>SKIN POLISH SACHET Rs 100</t>
  </si>
  <si>
    <t>9230164223392</t>
  </si>
  <si>
    <t>WHITE FACIAL BABA Rs 80</t>
  </si>
  <si>
    <t>9798710597088</t>
  </si>
  <si>
    <t>BABA APPLE GOLD FACIAL Rs 80</t>
  </si>
  <si>
    <t>BLEACH CREAM</t>
  </si>
  <si>
    <t>6009679061347</t>
  </si>
  <si>
    <t>PEACH PLUS CRM BLEACH 10ML Rs 35</t>
  </si>
  <si>
    <t>6009679061880</t>
  </si>
  <si>
    <t>PEACH BLEACH SACHET Rs 30</t>
  </si>
  <si>
    <t>6009679064171</t>
  </si>
  <si>
    <t>FRESH JOY BLEACH 20ML Rs 45</t>
  </si>
  <si>
    <t>6009679064485</t>
  </si>
  <si>
    <t>ALOVERA BLEACH SACHET Rs 35</t>
  </si>
  <si>
    <t>62</t>
  </si>
  <si>
    <t>SALAM MASOOR 500GM Rs 120</t>
  </si>
  <si>
    <t>FEEDER</t>
  </si>
  <si>
    <t>6009679064232</t>
  </si>
  <si>
    <t>FEEDER SMALL HANDLE 125ML Rs 150</t>
  </si>
  <si>
    <t>8964002137985</t>
  </si>
  <si>
    <t>SHIELD FEEDER W LARGE Rs 200</t>
  </si>
  <si>
    <t>FACE WASH</t>
  </si>
  <si>
    <t>6009679063853</t>
  </si>
  <si>
    <t>FACE WASH NEEM SMALL Rs 100</t>
  </si>
  <si>
    <t>CARE LOTION</t>
  </si>
  <si>
    <t>6009679061255</t>
  </si>
  <si>
    <t>CARE PH POWDER 150G Rs 350</t>
  </si>
  <si>
    <t>6009679061262</t>
  </si>
  <si>
    <t>CARE PH POWDER 100G Rs 280</t>
  </si>
  <si>
    <t>6009679065222</t>
  </si>
  <si>
    <t>F&amp;JOY HF SHAMPOO Rs 800</t>
  </si>
  <si>
    <t>6009679065239</t>
  </si>
  <si>
    <t>F&amp;JOY BS SHAMPOO Rs 800</t>
  </si>
  <si>
    <t>HAND WASH</t>
  </si>
  <si>
    <t>8961102860096</t>
  </si>
  <si>
    <t>HAND WASH AURA Rs 300</t>
  </si>
  <si>
    <t>NIPPLE</t>
  </si>
  <si>
    <t>8964001492351</t>
  </si>
  <si>
    <t>SHIELD NIPPLE 60/UNIT Rs 50</t>
  </si>
  <si>
    <t>GLOW &amp; LOVELY</t>
  </si>
  <si>
    <t>8961014265569</t>
  </si>
  <si>
    <t>G &amp; L JAR Rs 400</t>
  </si>
  <si>
    <t>8961014266269</t>
  </si>
  <si>
    <t>G &amp; L GLOW BOX Rs 470</t>
  </si>
  <si>
    <t>8961014266498</t>
  </si>
  <si>
    <t>G&amp;L FACE WASH 80G Rs 380</t>
  </si>
  <si>
    <t>8961014267075</t>
  </si>
  <si>
    <t>G&amp;L 25G Rs 170</t>
  </si>
  <si>
    <t>ROSE PATTEL TISSUE</t>
  </si>
  <si>
    <t>040962551837</t>
  </si>
  <si>
    <t>FILLY BABY WIPES Rs 150</t>
  </si>
  <si>
    <t>8961006010016</t>
  </si>
  <si>
    <t>ROSE PATAL LUXERY Rs 310</t>
  </si>
  <si>
    <t>8961006020015</t>
  </si>
  <si>
    <t>MAXOBE TISSUE ROLL Rs 130</t>
  </si>
  <si>
    <t>8961006020046</t>
  </si>
  <si>
    <t>TULIP ROLL PINK Rs 60</t>
  </si>
  <si>
    <t>8961006040020</t>
  </si>
  <si>
    <t>RP KITCHEN ROLL Rs 320</t>
  </si>
  <si>
    <t>8961006040129</t>
  </si>
  <si>
    <t>PARTY PACK PINK Rs 230</t>
  </si>
  <si>
    <t>8961006040136</t>
  </si>
  <si>
    <t>PARTY PACK W TISSUE Rs 240</t>
  </si>
  <si>
    <t>8961006070805</t>
  </si>
  <si>
    <t>MAXOB ROLL TISSUE Rs 130</t>
  </si>
  <si>
    <t>GOLDEN PEARL</t>
  </si>
  <si>
    <t>151973298090</t>
  </si>
  <si>
    <t>SANDAL CREAM Rs 360</t>
  </si>
  <si>
    <t>8964001078586</t>
  </si>
  <si>
    <t>GOLDEN PEARL CREAM Rs 360</t>
  </si>
  <si>
    <t>SOFT TOUCH TISSUE</t>
  </si>
  <si>
    <t>00002</t>
  </si>
  <si>
    <t>SOFT TOUCH LUXERY Rs 190</t>
  </si>
  <si>
    <t>00003</t>
  </si>
  <si>
    <t>SOFT TOUCH 150*2 Rs 190</t>
  </si>
  <si>
    <t>00004</t>
  </si>
  <si>
    <t>SOFT TOUCH 100*2 Rs 130</t>
  </si>
  <si>
    <t>00005</t>
  </si>
  <si>
    <t>SOFT TOUCH 50*2 Rs 90</t>
  </si>
  <si>
    <t>POWDER</t>
  </si>
  <si>
    <t>8961100001408</t>
  </si>
  <si>
    <t>TIBBET POWDER Rs 200</t>
  </si>
  <si>
    <t>8961100040049</t>
  </si>
  <si>
    <t>MEDORA POWDER Rs 230</t>
  </si>
  <si>
    <t>PERFUME</t>
  </si>
  <si>
    <t>AIR FRESHNER Rs 240</t>
  </si>
  <si>
    <t>732388510832</t>
  </si>
  <si>
    <t>SHIELD</t>
  </si>
  <si>
    <t>8964002137619</t>
  </si>
  <si>
    <t>SHIELD WIPES Rs 200</t>
  </si>
  <si>
    <t>SKIN CARE PRODUCTS</t>
  </si>
  <si>
    <t>8964000578001</t>
  </si>
  <si>
    <t>8964000578032</t>
  </si>
  <si>
    <t>KESHIA AMLA HAIR OIL 120ML Rs 350</t>
  </si>
  <si>
    <t>8964000578049</t>
  </si>
  <si>
    <t>FM CREAM 60GM Rs 240</t>
  </si>
  <si>
    <t>8964000578056</t>
  </si>
  <si>
    <t>FM CREAM 35GM Rs 140</t>
  </si>
  <si>
    <t>8964000578490</t>
  </si>
  <si>
    <t>FAIR FEET CREAM Rs 140</t>
  </si>
  <si>
    <t>8964000578551</t>
  </si>
  <si>
    <t>MACHO SOAP GREEN Rs 110</t>
  </si>
  <si>
    <t>8964000578575</t>
  </si>
  <si>
    <t>MACHO SOAP RED Rs 110</t>
  </si>
  <si>
    <t>8964000578650</t>
  </si>
  <si>
    <t>FAIRMENZ FW ADVANCE 50G Rs 170</t>
  </si>
  <si>
    <t>8964000578667</t>
  </si>
  <si>
    <t>FM FW ANTIPOLUTION 50GM Rs 170</t>
  </si>
  <si>
    <t>8964000578889</t>
  </si>
  <si>
    <t>KESHIA MORINGA OIL 120ML Rs 350</t>
  </si>
  <si>
    <t>8964001076032</t>
  </si>
  <si>
    <t>STILLMAN P JELLY Rs 210</t>
  </si>
  <si>
    <t>8964002548002</t>
  </si>
  <si>
    <t>FM ADVANCE FW 100GM Rs 250</t>
  </si>
  <si>
    <t>8964002548019</t>
  </si>
  <si>
    <t>FM ANTIPOLUTION FW 100GM Rs 250</t>
  </si>
  <si>
    <t>8964002548026</t>
  </si>
  <si>
    <t>FM SCRUB 100GM Rs 220</t>
  </si>
  <si>
    <t>8964002548552</t>
  </si>
  <si>
    <t>KESHIA BLACK SEED OIL 100ML Rs 260</t>
  </si>
  <si>
    <t>8964002548569</t>
  </si>
  <si>
    <t>KESHIA COCONUT OIL 100ML Rs 260</t>
  </si>
  <si>
    <t>8964002548576</t>
  </si>
  <si>
    <t>KESHIA GARLIC OIL 100ML Rs 220</t>
  </si>
  <si>
    <t>8964002548880</t>
  </si>
  <si>
    <t>PRETTY GOLD CREAM Rs 250</t>
  </si>
  <si>
    <t>8964002548910</t>
  </si>
  <si>
    <t>PRETTY GOLD SOAP Rs 90</t>
  </si>
  <si>
    <t>8964002550944</t>
  </si>
  <si>
    <t>PRETTY MANGO FW 50GM Rs 170</t>
  </si>
  <si>
    <t>8964002550951</t>
  </si>
  <si>
    <t>PRETTY MANGO FW 100GM Rs 280</t>
  </si>
  <si>
    <t>8964002550968</t>
  </si>
  <si>
    <t>PRETTY WATERMELON FW 50GM Rs 170</t>
  </si>
  <si>
    <t>8964002550975</t>
  </si>
  <si>
    <t>PRETTY WATERMELON FW 100GM Rs 280</t>
  </si>
  <si>
    <t>PONDS</t>
  </si>
  <si>
    <t>8961014249002</t>
  </si>
  <si>
    <t>PONDS LOTION 100ML Rs 350</t>
  </si>
  <si>
    <t>8961014263053</t>
  </si>
  <si>
    <t>PONDS FW BLACK Rs 300</t>
  </si>
  <si>
    <t>8961014263060</t>
  </si>
  <si>
    <t>PONDS FW MRCLE 100G Rs 490</t>
  </si>
  <si>
    <t>MECHICO</t>
  </si>
  <si>
    <t>8964000279021</t>
  </si>
  <si>
    <t>MECHICO FEEDER 150ML Rs 150</t>
  </si>
  <si>
    <t>SPICES</t>
  </si>
  <si>
    <t>NATIONAL FOODS</t>
  </si>
  <si>
    <t>SPICES - National</t>
  </si>
  <si>
    <t>620514000060</t>
  </si>
  <si>
    <t>NATIONAL MAITHI Rs 80</t>
  </si>
  <si>
    <t>620514000237</t>
  </si>
  <si>
    <t>NATIONAL ACHAR GOSHT 43G Rs 150</t>
  </si>
  <si>
    <t>620514000282</t>
  </si>
  <si>
    <t>NATIONAL BUMBAI 55GM Rs 130</t>
  </si>
  <si>
    <t>620514000589</t>
  </si>
  <si>
    <t>NATIONAL SHAMI KABAB 50G Rs 150</t>
  </si>
  <si>
    <t>620514000602</t>
  </si>
  <si>
    <t>NATIONAL CHICKEN TIKKA 40GM Rs 150</t>
  </si>
  <si>
    <t>620514000770</t>
  </si>
  <si>
    <t>KALI MIRCH POWDER Rs 260</t>
  </si>
  <si>
    <t>620514001500</t>
  </si>
  <si>
    <t>NATIONAL SEEKH KB 46GM Rs 140</t>
  </si>
  <si>
    <t>620514001692</t>
  </si>
  <si>
    <t>NATIONAL LEHSAN POEDER Rs 150</t>
  </si>
  <si>
    <t>620514004044</t>
  </si>
  <si>
    <t>NATIONAL TANDOORI 45G Rs 150</t>
  </si>
  <si>
    <t>620514008721</t>
  </si>
  <si>
    <t>NATIONAL BIRYAN 78GM Rs 290</t>
  </si>
  <si>
    <t>620514008738</t>
  </si>
  <si>
    <t>NATIONAL QORMA 86G Rs 290</t>
  </si>
  <si>
    <t>620514008806</t>
  </si>
  <si>
    <t>NATIONAL CHICK TIKKA 80GM Rs 290</t>
  </si>
  <si>
    <t>620514009872</t>
  </si>
  <si>
    <t>NATIONAL PULAO 70G Rs 150</t>
  </si>
  <si>
    <t>620514009896</t>
  </si>
  <si>
    <t>NATIONAL KARAI SACHET Rs 80</t>
  </si>
  <si>
    <t>620514009902</t>
  </si>
  <si>
    <t>NATIONAL BIRYANI SACHET Rs 80</t>
  </si>
  <si>
    <t>620514009926</t>
  </si>
  <si>
    <t>NATIONAL C TIKKA SACHET Rs 80</t>
  </si>
  <si>
    <t>620514009957</t>
  </si>
  <si>
    <t>620514009971</t>
  </si>
  <si>
    <t>ACHAR GOSHT SACHET Rs 70</t>
  </si>
  <si>
    <t>620514010359</t>
  </si>
  <si>
    <t>NATIONAL PULAO DBL Rs 290</t>
  </si>
  <si>
    <t>620514015545</t>
  </si>
  <si>
    <t>NATIONAL BOMBAY BIRYANI Rs 150</t>
  </si>
  <si>
    <t>620514019031</t>
  </si>
  <si>
    <t>NATIONAL NIHARI 50G Rs 150</t>
  </si>
  <si>
    <t>620514019055</t>
  </si>
  <si>
    <t>NATIONAL NIHARI SACHET Rs 70</t>
  </si>
  <si>
    <t>620514019215</t>
  </si>
  <si>
    <t>NATIONAL CHILI 210G Rs 130</t>
  </si>
  <si>
    <t>620514020020</t>
  </si>
  <si>
    <t>CHICKEN W KARAHI Rs 150</t>
  </si>
  <si>
    <t>620514020068</t>
  </si>
  <si>
    <t>CHICKEN TIKKA 85G Rs 270</t>
  </si>
  <si>
    <t>620514020778</t>
  </si>
  <si>
    <t>NATIONAL SALT G Rs 70</t>
  </si>
  <si>
    <t>620514020785</t>
  </si>
  <si>
    <t>NATIONAL SALT BLUE Rs 60</t>
  </si>
  <si>
    <t>620514021102</t>
  </si>
  <si>
    <t>NIHARI MIX Rs 150</t>
  </si>
  <si>
    <t>620514021201</t>
  </si>
  <si>
    <t>CHICKEN TIKKA Rs 150</t>
  </si>
  <si>
    <t>8964002944071</t>
  </si>
  <si>
    <t>DAWAT GARAM MASALA RS 30 Rs 30</t>
  </si>
  <si>
    <t>SPICES - SHAN</t>
  </si>
  <si>
    <t>788821001252</t>
  </si>
  <si>
    <t>SHAN BOMBAY BIRYANI 60G Rs 290</t>
  </si>
  <si>
    <t>788821001269</t>
  </si>
  <si>
    <t>SHAN NIHARI MASALA 120GM Rs 270</t>
  </si>
  <si>
    <t>788821001276</t>
  </si>
  <si>
    <t>SHAN BIRYANI MASALA 90GM Rs 290</t>
  </si>
  <si>
    <t>788821001290</t>
  </si>
  <si>
    <t>SHAN QORMA DOUBLE Rs 290</t>
  </si>
  <si>
    <t>788821001313</t>
  </si>
  <si>
    <t>SHAN CHICN TIKKA Rs 270</t>
  </si>
  <si>
    <t>788821001351</t>
  </si>
  <si>
    <t>SHAN BIRYANAI 30GM Rs 70</t>
  </si>
  <si>
    <t>788821001368</t>
  </si>
  <si>
    <t>SHAN QORMA 25GM Rs 70</t>
  </si>
  <si>
    <t>788821001382</t>
  </si>
  <si>
    <t>SHAN NIHARI 30GM Rs 70</t>
  </si>
  <si>
    <t>788821001399</t>
  </si>
  <si>
    <t>SHAN FISH SACHET Rs 80</t>
  </si>
  <si>
    <t>788821001405</t>
  </si>
  <si>
    <t>SHAN ACHAR GOSHT 30GM Rs 60</t>
  </si>
  <si>
    <t>788821003577</t>
  </si>
  <si>
    <t>SHAN SEEKH KABAB 30GM Rs 60</t>
  </si>
  <si>
    <t>788821005137</t>
  </si>
  <si>
    <t>SHAN PULAO 23GM Rs 70</t>
  </si>
  <si>
    <t>788821005182</t>
  </si>
  <si>
    <t>SHAN SALAN MASALA Rs 60</t>
  </si>
  <si>
    <t>788821005205</t>
  </si>
  <si>
    <t>SHAMI KABAB 25GM Rs 70</t>
  </si>
  <si>
    <t>788821005441</t>
  </si>
  <si>
    <t>SHAN TIKKA SACHET Rs 80</t>
  </si>
  <si>
    <t>788821005472</t>
  </si>
  <si>
    <t>SHAN SHAMI KABAB 100GM Rs 270</t>
  </si>
  <si>
    <t>788821011695</t>
  </si>
  <si>
    <t>PINK SALT Rs 100</t>
  </si>
  <si>
    <t>788821013071</t>
  </si>
  <si>
    <t>SHAN KOFTA MASALA SACHET Rs 60</t>
  </si>
  <si>
    <t>788821016119</t>
  </si>
  <si>
    <t>SHOOP RED RS30 Rs 30</t>
  </si>
  <si>
    <t>788821016126</t>
  </si>
  <si>
    <t>SHOOP GREEN RS30 Rs 30</t>
  </si>
  <si>
    <t>788821017758</t>
  </si>
  <si>
    <t>SHAN CHAT MASALA 30GM Rs 40</t>
  </si>
  <si>
    <t>788821018151</t>
  </si>
  <si>
    <t>SHAN CHICKEN W KARAI Rs 60</t>
  </si>
  <si>
    <t>788821018168</t>
  </si>
  <si>
    <t>SHAN CHICK WHITE 20GM Rs 60</t>
  </si>
  <si>
    <t>788821021564</t>
  </si>
  <si>
    <t>SHAN ACHAR GOSHT 50G Rs 140</t>
  </si>
  <si>
    <t>788821021588</t>
  </si>
  <si>
    <t>SHAN BOMBOY BIRYANI Rs 140</t>
  </si>
  <si>
    <t>788821021595</t>
  </si>
  <si>
    <t>SHAN KARAHI 50G Rs 140</t>
  </si>
  <si>
    <t>788821021601</t>
  </si>
  <si>
    <t>SHAN QORMA 50G Rs 140</t>
  </si>
  <si>
    <t>788821021946</t>
  </si>
  <si>
    <t>SHAN CHAT MSALA Rs 100</t>
  </si>
  <si>
    <t>788821023452</t>
  </si>
  <si>
    <t>SHAN NIHARI 60G Rs 150</t>
  </si>
  <si>
    <t>788821024107</t>
  </si>
  <si>
    <t>SHAN CHAT MASALA Rs 100</t>
  </si>
  <si>
    <t>788821024343</t>
  </si>
  <si>
    <t>SHAN BIRYANI 50G Rs 290</t>
  </si>
  <si>
    <t>788821024367</t>
  </si>
  <si>
    <t>SHJAN DBL KARAHI Rs 270</t>
  </si>
  <si>
    <t>788821024374</t>
  </si>
  <si>
    <t>SHAN DBL QORMA Rs 270</t>
  </si>
  <si>
    <t>788821111050</t>
  </si>
  <si>
    <t>IODIZED SALT Rs 80</t>
  </si>
  <si>
    <t>788821150127</t>
  </si>
  <si>
    <t>SHAN BIRYANI MASALA 45GM Rs 150</t>
  </si>
  <si>
    <t>788821150134</t>
  </si>
  <si>
    <t>SHAN YAKHNI PILAO 40GM Rs 150</t>
  </si>
  <si>
    <t>788821150141</t>
  </si>
  <si>
    <t>SHAN PILAO BIRYANI 40GM Rs 150</t>
  </si>
  <si>
    <t>788821150189</t>
  </si>
  <si>
    <t>SHAN BUMBAI 60GM Rs 150</t>
  </si>
  <si>
    <t>788821150219</t>
  </si>
  <si>
    <t>SHAN SINDHI BIRYANI Rs 140</t>
  </si>
  <si>
    <t>788821150363</t>
  </si>
  <si>
    <t>SHAN ACHAR GOSHT 50GM Rs 150</t>
  </si>
  <si>
    <t>788821150387</t>
  </si>
  <si>
    <t>SHAN KOFTA 50GM Rs 140</t>
  </si>
  <si>
    <t>788821150394</t>
  </si>
  <si>
    <t>SHAN QORMA 50GM Rs 150</t>
  </si>
  <si>
    <t>788821150431</t>
  </si>
  <si>
    <t>SHAN PAYA MASALA 50GM Rs 150</t>
  </si>
  <si>
    <t>788821150684</t>
  </si>
  <si>
    <t>SHAN NIHARI MASALA 60GM Rs 150</t>
  </si>
  <si>
    <t>788821150790</t>
  </si>
  <si>
    <t>SHAN KARAI MASALA 50GM Rs 150</t>
  </si>
  <si>
    <t>788821150837</t>
  </si>
  <si>
    <t>SHAN CHAPLI KABAB 100GM Rs 140</t>
  </si>
  <si>
    <t>788821150905</t>
  </si>
  <si>
    <t>SHAN FISH MASALA Rs 150</t>
  </si>
  <si>
    <t>788821150929</t>
  </si>
  <si>
    <t>SHAN SHAMI KABAB 50GM Rs 140</t>
  </si>
  <si>
    <t>788821150936</t>
  </si>
  <si>
    <t>SHAN HALEEM MASALA 50GM Rs 150</t>
  </si>
  <si>
    <t>788821150967</t>
  </si>
  <si>
    <t>SHAN BROAST 130G Rs 140</t>
  </si>
  <si>
    <t>788821151117</t>
  </si>
  <si>
    <t>SHAN CHAT MASAL 50GM Rs 120</t>
  </si>
  <si>
    <t>788821151148</t>
  </si>
  <si>
    <t>SHAN CHAT MASALA Rs 120</t>
  </si>
  <si>
    <t>788821151247</t>
  </si>
  <si>
    <t>SHAN TANDOORI MASALA Rs 150</t>
  </si>
  <si>
    <t>788821151261</t>
  </si>
  <si>
    <t>SHAN CHICKEN TIKKA RS:130 Rs 150</t>
  </si>
  <si>
    <t>788821151278</t>
  </si>
  <si>
    <t>SHAN SEEKH KABAB 45GM Rs 125</t>
  </si>
  <si>
    <t>788821151292</t>
  </si>
  <si>
    <t>SHAN TIKKA MASALA 50GM Rs 140</t>
  </si>
  <si>
    <t>788821151308</t>
  </si>
  <si>
    <t>SHAN TIKKA SEIKH KABAB 45GM Rs 125</t>
  </si>
  <si>
    <t>788821151445</t>
  </si>
  <si>
    <t>SHAN W KARAI 40GM Rs 140</t>
  </si>
  <si>
    <t>788821151452</t>
  </si>
  <si>
    <t>SHAN WHITE KORMA 50GM Rs 125</t>
  </si>
  <si>
    <t>788821151704</t>
  </si>
  <si>
    <t>HALEEM MIX 300GM Rs 350</t>
  </si>
  <si>
    <t>788821151711</t>
  </si>
  <si>
    <t>SHAN SHAHI HALEEM 300GM Rs 350</t>
  </si>
  <si>
    <t>788821151810</t>
  </si>
  <si>
    <t>SHAN QASURI METHI Rs 80</t>
  </si>
  <si>
    <t>788821152664</t>
  </si>
  <si>
    <t>SHAN KALI MIRCH Rs 110</t>
  </si>
  <si>
    <t>788821152671</t>
  </si>
  <si>
    <t>SHAN KALI MIRCH POWDER Rs 210</t>
  </si>
  <si>
    <t>788821152770</t>
  </si>
  <si>
    <t>SHAN ADRAK POWDER Rs 155</t>
  </si>
  <si>
    <t>788821153098</t>
  </si>
  <si>
    <t>SHAN LEHSAN POWDER Rs 145</t>
  </si>
  <si>
    <t>KATCHUP-NATIONAL</t>
  </si>
  <si>
    <t>620514006130</t>
  </si>
  <si>
    <t>NATIONAL KATCHUP 400GM Rs 230</t>
  </si>
  <si>
    <t>620514008530</t>
  </si>
  <si>
    <t>NATIONAL CHILI 400GM Rs 230</t>
  </si>
  <si>
    <t>620514009490</t>
  </si>
  <si>
    <t>NATIONAL CHILI 210GM Rs 140</t>
  </si>
  <si>
    <t>620514019154</t>
  </si>
  <si>
    <t>NATIONAL KATCHUP 800GM Rs 400</t>
  </si>
  <si>
    <t>620514019222</t>
  </si>
  <si>
    <t>NATIONAL CHILI 400G Rs 230</t>
  </si>
  <si>
    <t>SHANGRILA SAUCE</t>
  </si>
  <si>
    <t>8964000020005</t>
  </si>
  <si>
    <t>SHANGRILA SOYA 120ML Rs 80</t>
  </si>
  <si>
    <t>8964000020081</t>
  </si>
  <si>
    <t>SHANGRILA SOYA SAUCE 275 Rs 150</t>
  </si>
  <si>
    <t>8964000020104</t>
  </si>
  <si>
    <t>SHANGRILA CHILI 120ML Rs 100</t>
  </si>
  <si>
    <t>8964000020180</t>
  </si>
  <si>
    <t>SHANGRILA CHILI SAUCE 275ML Rs 180</t>
  </si>
  <si>
    <t>8964000020203</t>
  </si>
  <si>
    <t>SHANGRILA VIVEGAR 120ML Rs 80</t>
  </si>
  <si>
    <t>8964000020289</t>
  </si>
  <si>
    <t>SHANGRILA VINEGAR 300ML Rs 120</t>
  </si>
  <si>
    <t>8964000020296</t>
  </si>
  <si>
    <t>SHANGRILA VANEGAR 700ML Rs 220</t>
  </si>
  <si>
    <t>8964000020319</t>
  </si>
  <si>
    <t>SHANGRILA KATCHUP RS:50 Rs 50</t>
  </si>
  <si>
    <t>8964000020340</t>
  </si>
  <si>
    <t>SHANGRILA KATCHUP 225GM Rs 130</t>
  </si>
  <si>
    <t>8964000020357</t>
  </si>
  <si>
    <t>SHANGRILLA KATCHUP 400G Rs 230</t>
  </si>
  <si>
    <t>8964000020487</t>
  </si>
  <si>
    <t>SHANG CHILI G 400G Rs 230</t>
  </si>
  <si>
    <t>8964000020661</t>
  </si>
  <si>
    <t>SHANGRILA MIX ACHAR 150GM Rs 100</t>
  </si>
  <si>
    <t>8964000020784</t>
  </si>
  <si>
    <t>MIX ACHAR 325G Rs 300</t>
  </si>
  <si>
    <t>8964000020821</t>
  </si>
  <si>
    <t>ACHAR RS:50 Rs 50</t>
  </si>
  <si>
    <t>8964000021576</t>
  </si>
  <si>
    <t>SHANGRILA TRY 275ML Rs 420</t>
  </si>
  <si>
    <t>8964000021583</t>
  </si>
  <si>
    <t>SHANGRILA TRY 120ML Rs 250</t>
  </si>
  <si>
    <t>8964000021934</t>
  </si>
  <si>
    <t>SHANG CHILI G 210G Rs 130</t>
  </si>
  <si>
    <t>8964000843062</t>
  </si>
  <si>
    <t>KATCH UP RS 20 Rs 20</t>
  </si>
  <si>
    <t>8964000843789</t>
  </si>
  <si>
    <t>ACHAR RS:20 Rs 20</t>
  </si>
  <si>
    <t>8964000843802</t>
  </si>
  <si>
    <t>CRUSHED ACHAR 750G Rs 700</t>
  </si>
  <si>
    <t>8964000843819</t>
  </si>
  <si>
    <t>CRUSHED ACHAR 390G Rs 400</t>
  </si>
  <si>
    <t>8964000843864</t>
  </si>
  <si>
    <t>SMILE JUICE 250ML Rs 70</t>
  </si>
  <si>
    <t>8964000843901</t>
  </si>
  <si>
    <t>SMILE JUICE 1 ' Rs 220</t>
  </si>
  <si>
    <t>DYPERS</t>
  </si>
  <si>
    <t>PNG</t>
  </si>
  <si>
    <t>MOLPAID</t>
  </si>
  <si>
    <t>8964003062309</t>
  </si>
  <si>
    <t>MOLPED 9P Rs 300</t>
  </si>
  <si>
    <t>8964003062316</t>
  </si>
  <si>
    <t>MOLPED 8P Rs 300</t>
  </si>
  <si>
    <t>8964003062330</t>
  </si>
  <si>
    <t>MOLPED 16P Rs 550</t>
  </si>
  <si>
    <t>8964003062965</t>
  </si>
  <si>
    <t>MOLPAD 9P Rs 280</t>
  </si>
  <si>
    <t>8964003062972</t>
  </si>
  <si>
    <t>MOLPAD 18P Rs 550</t>
  </si>
  <si>
    <t>8964003062996</t>
  </si>
  <si>
    <t>MOLPAD 16P Rs 550</t>
  </si>
  <si>
    <t>NANA PAMPER</t>
  </si>
  <si>
    <t>8964001050605</t>
  </si>
  <si>
    <t>NANA PAMPER L-4 Rs 1150</t>
  </si>
  <si>
    <t>PAMPERS</t>
  </si>
  <si>
    <t>8700216021647</t>
  </si>
  <si>
    <t>PAMPERS S4 Rs 2800</t>
  </si>
  <si>
    <t>8964001050759</t>
  </si>
  <si>
    <t>NOFEA XXL 16P Rs 320</t>
  </si>
  <si>
    <t>8964002893775</t>
  </si>
  <si>
    <t>NOFIA MAXITHIC 9P Rs 220</t>
  </si>
  <si>
    <t>8964002893782</t>
  </si>
  <si>
    <t>NOFIA MAXITHIC 18P Rs 450</t>
  </si>
  <si>
    <t>8964002893805</t>
  </si>
  <si>
    <t>NOFIA MAXITHIC 8P Rs 220</t>
  </si>
  <si>
    <t>8964002893812</t>
  </si>
  <si>
    <t>NOFIA MAXITHIC 16P Rs 450</t>
  </si>
  <si>
    <t>8964002895816</t>
  </si>
  <si>
    <t>NOFEA ULTRA 7P Rs 180</t>
  </si>
  <si>
    <t>8964002895823</t>
  </si>
  <si>
    <t>NOFEA 18P Rs 320</t>
  </si>
  <si>
    <t>8964002895830</t>
  </si>
  <si>
    <t>NOFEA ULTRA 8P Rs 180</t>
  </si>
  <si>
    <t>925100009206</t>
  </si>
  <si>
    <t>CAREBABY WIPES Rs 180</t>
  </si>
  <si>
    <t>OTHERS</t>
  </si>
  <si>
    <t>POWER PLUS</t>
  </si>
  <si>
    <t>STAINLESS STEEL</t>
  </si>
  <si>
    <t>STEEL TEA STAINER Rs 150</t>
  </si>
  <si>
    <t>PHENYLE</t>
  </si>
  <si>
    <t>1175</t>
  </si>
  <si>
    <t>7436953587368</t>
  </si>
  <si>
    <t>Fine 3 Ltr Rs 230</t>
  </si>
  <si>
    <t>8964001195214</t>
  </si>
  <si>
    <t>FINIS PHENYLE 1L Rs 300</t>
  </si>
  <si>
    <t>8964001250746</t>
  </si>
  <si>
    <t>WIZ PHENYLE Rs 250</t>
  </si>
  <si>
    <t>8964002809066</t>
  </si>
  <si>
    <t>FINIS PHENYLE Rs 420</t>
  </si>
  <si>
    <t>9783651261891</t>
  </si>
  <si>
    <t>POCHHA PHENYLE Rs 200</t>
  </si>
  <si>
    <t>9783651262287</t>
  </si>
  <si>
    <t>PHENYLE 1 L Rs 100</t>
  </si>
  <si>
    <t>1020304050609</t>
  </si>
  <si>
    <t>POWER PLUS LIQ POLISH Rs 190</t>
  </si>
  <si>
    <t>51</t>
  </si>
  <si>
    <t>LOBIA WHITE Rs 100</t>
  </si>
  <si>
    <t>6068357302370</t>
  </si>
  <si>
    <t>SHOE SHINNER Rs 200</t>
  </si>
  <si>
    <t>HOCKEY</t>
  </si>
  <si>
    <t>52</t>
  </si>
  <si>
    <t>HOCKY MATCH Rs 45</t>
  </si>
  <si>
    <t>ROBIN</t>
  </si>
  <si>
    <t>6001106309718</t>
  </si>
  <si>
    <t>ROBIN 75ML Rs 300</t>
  </si>
  <si>
    <t>HAIR CARE</t>
  </si>
  <si>
    <t>SAMSOLE</t>
  </si>
  <si>
    <t>LIFE BUOY SHAMPOO</t>
  </si>
  <si>
    <t>LBS ONION 175ML Rs 370</t>
  </si>
  <si>
    <t>8961014261059</t>
  </si>
  <si>
    <t>LBS DBL PATTA 9ML Rs 10</t>
  </si>
  <si>
    <t>8961014263008</t>
  </si>
  <si>
    <t>LBS SACHET ONION Rs 10</t>
  </si>
  <si>
    <t>8961014266047</t>
  </si>
  <si>
    <t>8961014266061</t>
  </si>
  <si>
    <t>LBS HERBAL 175ML Rs 370</t>
  </si>
  <si>
    <t>8961014266078</t>
  </si>
  <si>
    <t>LBS HERBAL 370ML Rs 670</t>
  </si>
  <si>
    <t>8961014266115</t>
  </si>
  <si>
    <t>LBS HERBAL 90ML Rs 200</t>
  </si>
  <si>
    <t>8961014266122</t>
  </si>
  <si>
    <t>8961014266146</t>
  </si>
  <si>
    <t>LBS GREEN 650ML Rs 1150</t>
  </si>
  <si>
    <t>8961014266931</t>
  </si>
  <si>
    <t>LBS NL 175ML Rs 370</t>
  </si>
  <si>
    <t>8961014269123</t>
  </si>
  <si>
    <t>LBS AD 370ML Rs 620</t>
  </si>
  <si>
    <t>REVLON</t>
  </si>
  <si>
    <t>309970184735</t>
  </si>
  <si>
    <t>REVLON-41 Rs 700</t>
  </si>
  <si>
    <t>309970184742</t>
  </si>
  <si>
    <t>REVLON-42 Rs 700</t>
  </si>
  <si>
    <t>3099786951108</t>
  </si>
  <si>
    <t>REVLON-11 Rs 700</t>
  </si>
  <si>
    <t>3099786953010</t>
  </si>
  <si>
    <t>REVLON-30 Rs 700</t>
  </si>
  <si>
    <t>3099786953188</t>
  </si>
  <si>
    <t>REVLON-31 Rs 700</t>
  </si>
  <si>
    <t>309978695554</t>
  </si>
  <si>
    <t>REVLON-55 Rs 700</t>
  </si>
  <si>
    <t>52161371017</t>
  </si>
  <si>
    <t>HAIR COMB 50WALA Rs 50</t>
  </si>
  <si>
    <t>8852113732956</t>
  </si>
  <si>
    <t>DUST COMB WITH PACKING Rs 30</t>
  </si>
  <si>
    <t>8902656704917</t>
  </si>
  <si>
    <t>REVLON NB SACHET Rs 100</t>
  </si>
  <si>
    <t>DAAL MASOOR 500GM Rs 160</t>
  </si>
  <si>
    <t>8961102860317</t>
  </si>
  <si>
    <t>HAIR WELL CLR Rs 80</t>
  </si>
  <si>
    <t>MASTER CLEANER</t>
  </si>
  <si>
    <t>6930865900037</t>
  </si>
  <si>
    <t>CHINA SCRUBBER SMALL Rs 30</t>
  </si>
  <si>
    <t>6930865900792</t>
  </si>
  <si>
    <t>CHINA SCRUBBER LARGE Rs 50</t>
  </si>
  <si>
    <t>DOVE</t>
  </si>
  <si>
    <t>8961014256482</t>
  </si>
  <si>
    <t>DOVE SACHET RS 20 Rs 20</t>
  </si>
  <si>
    <t>8961014264470</t>
  </si>
  <si>
    <t>DOVE HF 175ML Rs 520</t>
  </si>
  <si>
    <t>8961014266450</t>
  </si>
  <si>
    <t>DOVE SACHET RS 10 Rs 10</t>
  </si>
  <si>
    <t>8961014266689</t>
  </si>
  <si>
    <t>DOVE IR 175ML Rs 520</t>
  </si>
  <si>
    <t>8961014266696</t>
  </si>
  <si>
    <t>DOVE IR 360ML Rs 870</t>
  </si>
  <si>
    <t>8961014266832</t>
  </si>
  <si>
    <t>DOVE COND IR 180ML Rs 540</t>
  </si>
  <si>
    <t>PALMOLIVE SHAMPOO</t>
  </si>
  <si>
    <t>8886950035048</t>
  </si>
  <si>
    <t>PALMOLIVE SHAMPOO P180ML Rs 370</t>
  </si>
  <si>
    <t>182039000005</t>
  </si>
  <si>
    <t>SAMSOLE LARGE 45 Rs 250</t>
  </si>
  <si>
    <t>182039000067</t>
  </si>
  <si>
    <t>SAMSOLE SMALL 45 Rs 150</t>
  </si>
  <si>
    <t>182039000074</t>
  </si>
  <si>
    <t>SAMSOLE SMALL 43 Rs 150</t>
  </si>
  <si>
    <t>8964000888001</t>
  </si>
  <si>
    <t>REETHA COLOR 45 Rs 80</t>
  </si>
  <si>
    <t>8964000888018</t>
  </si>
  <si>
    <t>REETHA COLOR 43 Rs 90</t>
  </si>
  <si>
    <t>LOREAL SHAMPOO</t>
  </si>
  <si>
    <t>3610340654251</t>
  </si>
  <si>
    <t>LOREAL WHITE 360ML Rs 910</t>
  </si>
  <si>
    <t>3610340655371</t>
  </si>
  <si>
    <t>LOREAL RED 360ML Rs 930</t>
  </si>
  <si>
    <t>3610340655395</t>
  </si>
  <si>
    <t>LOREAL FALL RESIST 360ML Rs 910</t>
  </si>
  <si>
    <t>3610340655425</t>
  </si>
  <si>
    <t>LOREAL 6OIL 360ML Rs 910</t>
  </si>
  <si>
    <t>53</t>
  </si>
  <si>
    <t>KHAIBER GHEE 1KG Rs 480</t>
  </si>
  <si>
    <t>OLIVIA HAIR COLOR</t>
  </si>
  <si>
    <t>858167000018</t>
  </si>
  <si>
    <t>OLIVIA-1 Rs 300</t>
  </si>
  <si>
    <t>858167000025</t>
  </si>
  <si>
    <t>OLIVIA 2 Rs 300</t>
  </si>
  <si>
    <t>858167000032</t>
  </si>
  <si>
    <t>OLIVIA-3 Rs 300</t>
  </si>
  <si>
    <t>858167000049</t>
  </si>
  <si>
    <t>OLIVIA-4 Rs 300</t>
  </si>
  <si>
    <t>858167000056</t>
  </si>
  <si>
    <t>OLIVIA-5 Rs 300</t>
  </si>
  <si>
    <t>858167000063</t>
  </si>
  <si>
    <t>OLIVIA-6 Rs 300</t>
  </si>
  <si>
    <t>858167000070</t>
  </si>
  <si>
    <t>OLIVIA-7 Rs 300</t>
  </si>
  <si>
    <t>858167000087</t>
  </si>
  <si>
    <t>OLIVIA-8 Rs 300</t>
  </si>
  <si>
    <t>858167000094</t>
  </si>
  <si>
    <t>OLIVIA -9 Rs 300</t>
  </si>
  <si>
    <t>858167000100</t>
  </si>
  <si>
    <t>OLIVIA-10 Rs 300</t>
  </si>
  <si>
    <t>858167000575</t>
  </si>
  <si>
    <t>OLIVIA -12 Rs 300</t>
  </si>
  <si>
    <t>CLEAR</t>
  </si>
  <si>
    <t>8961014241945</t>
  </si>
  <si>
    <t>CLEAR SACHET Rs 5</t>
  </si>
  <si>
    <t>PANTENE</t>
  </si>
  <si>
    <t>8001090791184</t>
  </si>
  <si>
    <t>PANTENE COND AHF 180ML Rs 450</t>
  </si>
  <si>
    <t>8001841494180</t>
  </si>
  <si>
    <t>PANTENE AHF 360ML Rs 730</t>
  </si>
  <si>
    <t>SUNSILK</t>
  </si>
  <si>
    <t>8961014254082</t>
  </si>
  <si>
    <t>SUNAILK B SACHET Rs 5</t>
  </si>
  <si>
    <t>8961014255461</t>
  </si>
  <si>
    <t>SUNSILK SACHET TL Rs 10</t>
  </si>
  <si>
    <t>8961014263312</t>
  </si>
  <si>
    <t>SUNSILK ONION 380ML Rs 800</t>
  </si>
  <si>
    <t>8961014265576</t>
  </si>
  <si>
    <t>SS HF 185ML Rs 450</t>
  </si>
  <si>
    <t>8961014265583</t>
  </si>
  <si>
    <t>SS BS 360ML Rs 750</t>
  </si>
  <si>
    <t>8961014265606</t>
  </si>
  <si>
    <t>SS HF 370ML Rs 750</t>
  </si>
  <si>
    <t>8961014265620</t>
  </si>
  <si>
    <t>SUNSILK 185ML Rs 450</t>
  </si>
  <si>
    <t>8961014265668</t>
  </si>
  <si>
    <t>SUNSILK MINI Rs 190</t>
  </si>
  <si>
    <t>8961014265675</t>
  </si>
  <si>
    <t>SUNSILK COND B Rs 480</t>
  </si>
  <si>
    <t>8961014265705</t>
  </si>
  <si>
    <t>SUNSILK PUMP TL Rs 1300</t>
  </si>
  <si>
    <t>8961014265729</t>
  </si>
  <si>
    <t>SS SILKY 370ML Rs 750</t>
  </si>
  <si>
    <t>8961014266542</t>
  </si>
  <si>
    <t>SS B SACHET Rs 5</t>
  </si>
  <si>
    <t>PP</t>
  </si>
  <si>
    <t>POP UP</t>
  </si>
  <si>
    <t>8961006040044</t>
  </si>
  <si>
    <t>POP UP Rs 250</t>
  </si>
  <si>
    <t>8961006070911</t>
  </si>
  <si>
    <t>POP UP 4*1 Rs 750</t>
  </si>
  <si>
    <t>TULIP</t>
  </si>
  <si>
    <t>6224008817222</t>
  </si>
  <si>
    <t>FAMILIA TISSUE Rs 230</t>
  </si>
  <si>
    <t>6224009136759</t>
  </si>
  <si>
    <t>8961006010368</t>
  </si>
  <si>
    <t>TISSUE TULIP Rs 100</t>
  </si>
  <si>
    <t>8964003286613</t>
  </si>
  <si>
    <t>RUMAL POPUP TISSUE Rs 210</t>
  </si>
  <si>
    <t>8964003286712</t>
  </si>
  <si>
    <t>RUMAL SOFT SILKY Rs 150</t>
  </si>
  <si>
    <t>PARTIPACK</t>
  </si>
  <si>
    <t>8961006040068</t>
  </si>
  <si>
    <t>TISSUE PARTIPACK Rs 275</t>
  </si>
  <si>
    <t>DETOLE</t>
  </si>
  <si>
    <t>6001106209261</t>
  </si>
  <si>
    <t>DETOLE BAR 85GM Rs 140</t>
  </si>
  <si>
    <t>6001106209506</t>
  </si>
  <si>
    <t>DETOLE BAR 115GM Rs 150</t>
  </si>
  <si>
    <t>5488796215856</t>
  </si>
  <si>
    <t>HYGIENE RAZOR Rs 20</t>
  </si>
  <si>
    <t>8700216780254</t>
  </si>
  <si>
    <t>GILLET B PLUS Rs 220</t>
  </si>
  <si>
    <t>HOME CARE</t>
  </si>
  <si>
    <t>FRINA STORM</t>
  </si>
  <si>
    <t>SCCURER</t>
  </si>
  <si>
    <t>8964000037232</t>
  </si>
  <si>
    <t>LEMON MAX</t>
  </si>
  <si>
    <t>8886950072463</t>
  </si>
  <si>
    <t>MAX 165G Rs 50</t>
  </si>
  <si>
    <t>8886950072487</t>
  </si>
  <si>
    <t>MAX 290G Rs 90</t>
  </si>
  <si>
    <t>8886950074498</t>
  </si>
  <si>
    <t>MAX LEMON PASTE 200GM Rs 150</t>
  </si>
  <si>
    <t>8886950076232</t>
  </si>
  <si>
    <t>MAX FOAM SOOBI Rs 70</t>
  </si>
  <si>
    <t>8886950083155</t>
  </si>
  <si>
    <t>MAX POWDER BOTLE Rs 140</t>
  </si>
  <si>
    <t>8961014250688</t>
  </si>
  <si>
    <t>VIM LONG BAR 230GM Rs 75</t>
  </si>
  <si>
    <t>8961014250695</t>
  </si>
  <si>
    <t>VIM DBL LONG BAR Rs 150</t>
  </si>
  <si>
    <t>8886950072449</t>
  </si>
  <si>
    <t>LEMON MAX RS:30 Rs 30</t>
  </si>
  <si>
    <t>8886950072494</t>
  </si>
  <si>
    <t>LAMON MAX LB Rs 80</t>
  </si>
  <si>
    <t>VIM</t>
  </si>
  <si>
    <t>8961014263688</t>
  </si>
  <si>
    <t>VIM LONGBAR Rs 70</t>
  </si>
  <si>
    <t>8961014263695</t>
  </si>
  <si>
    <t>VIM DBL BAR Rs 150</t>
  </si>
  <si>
    <t>ORAL CARE</t>
  </si>
  <si>
    <t>DENTIST BRUSH</t>
  </si>
  <si>
    <t>8964000139127</t>
  </si>
  <si>
    <t>DENTIST BRUSH RS 250 Rs 250</t>
  </si>
  <si>
    <t>TOOTH PICK</t>
  </si>
  <si>
    <t>6921224065238</t>
  </si>
  <si>
    <t>TOOTH PICK Rs 60</t>
  </si>
  <si>
    <t>6933961560259</t>
  </si>
  <si>
    <t>TOOTH PICK Rs 30</t>
  </si>
  <si>
    <t>COLGATE PAST</t>
  </si>
  <si>
    <t>8886950050225</t>
  </si>
  <si>
    <t>COLGATE PASTE VD BRUSH Rs 190</t>
  </si>
  <si>
    <t>8886950051048</t>
  </si>
  <si>
    <t>COLGATE GRF 150GM Rs 320</t>
  </si>
  <si>
    <t>8886950051062</t>
  </si>
  <si>
    <t>COLGATE GRF 20GM Rs 50</t>
  </si>
  <si>
    <t>8886950051383</t>
  </si>
  <si>
    <t>COLGATE 200GM Rs 400</t>
  </si>
  <si>
    <t>8886950051420</t>
  </si>
  <si>
    <t>COLGATE GRF 40GM Rs 70</t>
  </si>
  <si>
    <t>8886950052229</t>
  </si>
  <si>
    <t>COLGATE HERBAL 45GM Rs 70</t>
  </si>
  <si>
    <t>8886950052274</t>
  </si>
  <si>
    <t>COLGATE HERBAL 100GM Rs 190</t>
  </si>
  <si>
    <t>8886950052359</t>
  </si>
  <si>
    <t>COLGARE HERB 100G Rs 220</t>
  </si>
  <si>
    <t>8886950052397</t>
  </si>
  <si>
    <t>8886950056012</t>
  </si>
  <si>
    <t>COLGATE MAX FRESH B 75GM Rs 220</t>
  </si>
  <si>
    <t>8886950056036</t>
  </si>
  <si>
    <t>COLGATE MAX FRESH R 75GM Rs 220</t>
  </si>
  <si>
    <t>8886950056043</t>
  </si>
  <si>
    <t>COLGATE MAX FRESH R 125GM Rs 325</t>
  </si>
  <si>
    <t>8886950056050</t>
  </si>
  <si>
    <t>COLGATE MAX FRESH G 75GM Rs 210</t>
  </si>
  <si>
    <t>8886950057224</t>
  </si>
  <si>
    <t>COLGATE HERB 55G Rs 100</t>
  </si>
  <si>
    <t>8886950066592</t>
  </si>
  <si>
    <t>SPARKLE 35G Rs 50</t>
  </si>
  <si>
    <t>8886950066639</t>
  </si>
  <si>
    <t>8886950066646</t>
  </si>
  <si>
    <t>SPARKLE 70G Rs 100</t>
  </si>
  <si>
    <t>8886950066660</t>
  </si>
  <si>
    <t>SPARKLE LONG 130G Rs 180</t>
  </si>
  <si>
    <t>8886950066684</t>
  </si>
  <si>
    <t>SPARKLE 200G Rs 250</t>
  </si>
  <si>
    <t>MEDICAM PAIST</t>
  </si>
  <si>
    <t>6291101520137</t>
  </si>
  <si>
    <t>MEDICAM 90GM Rs 285</t>
  </si>
  <si>
    <t>6291101520151</t>
  </si>
  <si>
    <t>MEDICAM 140GM Rs 310</t>
  </si>
  <si>
    <t>DOCTOR PAIST</t>
  </si>
  <si>
    <t>8964000961681</t>
  </si>
  <si>
    <t>DOCTOR LONG 65GM Rs 200</t>
  </si>
  <si>
    <t>BRUSH</t>
  </si>
  <si>
    <t>8886950092102</t>
  </si>
  <si>
    <t>COLGATE BRUSH Rs 100</t>
  </si>
  <si>
    <t>8964000139110</t>
  </si>
  <si>
    <t>8964000139325</t>
  </si>
  <si>
    <t>BRUSH EZIGRIP MED Rs 80</t>
  </si>
  <si>
    <t>ENGLISH PAIST</t>
  </si>
  <si>
    <t>6164003394017</t>
  </si>
  <si>
    <t>MOSPEL LOSHAN 45ML Rs 290</t>
  </si>
  <si>
    <t>8964000572498</t>
  </si>
  <si>
    <t>ENGLISH PH POWDER LARGE Rs 320</t>
  </si>
  <si>
    <t>SENSODYNE</t>
  </si>
  <si>
    <t>8964004257018</t>
  </si>
  <si>
    <t>RAPID ACTION 70G Rs 380</t>
  </si>
  <si>
    <t>8964004257025</t>
  </si>
  <si>
    <t>SENSIDYNE 30G Rs 150</t>
  </si>
  <si>
    <t>8964004257476</t>
  </si>
  <si>
    <t>SENSIDYNE RA 70G Rs 340</t>
  </si>
  <si>
    <t>PARODONTAX 50G Rs 210</t>
  </si>
  <si>
    <t>9200475776504</t>
  </si>
  <si>
    <t>BEVERAGES</t>
  </si>
  <si>
    <t>TANG</t>
  </si>
  <si>
    <t>7622201718633</t>
  </si>
  <si>
    <t>TANG MANGO SACHET Rs 25</t>
  </si>
  <si>
    <t>7622201718664</t>
  </si>
  <si>
    <t>TANG ORANG SACHET Rs 25</t>
  </si>
  <si>
    <t>7622202399633</t>
  </si>
  <si>
    <t>TANG ORANGE JUG PACK Rs 100</t>
  </si>
  <si>
    <t>PET BOTTLE</t>
  </si>
  <si>
    <t>42117131</t>
  </si>
  <si>
    <t>COCA COLA 350ML Rs 70</t>
  </si>
  <si>
    <t>5449000000286</t>
  </si>
  <si>
    <t>COCA COLA 2 LTR Rs 240</t>
  </si>
  <si>
    <t>5449000030245</t>
  </si>
  <si>
    <t>COCA COLA 1.5L Rs 200</t>
  </si>
  <si>
    <t>5449000054227</t>
  </si>
  <si>
    <t>COCA COLA 1 LTR Rs 160</t>
  </si>
  <si>
    <t>LIPTON</t>
  </si>
  <si>
    <t>SUPREME</t>
  </si>
  <si>
    <t>5063305011077</t>
  </si>
  <si>
    <t>SUPREME 85G CP Rs 180</t>
  </si>
  <si>
    <t>5063305011084</t>
  </si>
  <si>
    <t>SUPREME 170G CP Rs 360</t>
  </si>
  <si>
    <t>JAME SHEEREN</t>
  </si>
  <si>
    <t>855434000016</t>
  </si>
  <si>
    <t>JAME SHEEREN 800ML Rs 550</t>
  </si>
  <si>
    <t>855434009675</t>
  </si>
  <si>
    <t>JOHAR JOSHANDA Rs 25</t>
  </si>
  <si>
    <t>VITAL</t>
  </si>
  <si>
    <t>8964000008003</t>
  </si>
  <si>
    <t>VITAL 900GM Rs 1700</t>
  </si>
  <si>
    <t>8964000008102</t>
  </si>
  <si>
    <t>VITAL 170GM Rs 380</t>
  </si>
  <si>
    <t>8964000008119</t>
  </si>
  <si>
    <t>VITAL 85GM Rs 185</t>
  </si>
  <si>
    <t>8964000008430</t>
  </si>
  <si>
    <t>VITAL RS 50 Rs 50</t>
  </si>
  <si>
    <t>8964000819289</t>
  </si>
  <si>
    <t>VITAL RS 30 Rs 30</t>
  </si>
  <si>
    <t>8964000819883</t>
  </si>
  <si>
    <t>VITAL CAFE Rs 380</t>
  </si>
  <si>
    <t>8964001048480</t>
  </si>
  <si>
    <t>VITAL 85GM Rs 190</t>
  </si>
  <si>
    <t>TAPAL DD</t>
  </si>
  <si>
    <t>815096000274</t>
  </si>
  <si>
    <t>TAPAL DD 900GM Rs 1800</t>
  </si>
  <si>
    <t>815096000304</t>
  </si>
  <si>
    <t>GULBAHAR GREEN T Rs 50</t>
  </si>
  <si>
    <t>815096000311</t>
  </si>
  <si>
    <t>TAPAL JASMINE JAR Rs 300</t>
  </si>
  <si>
    <t>815096000908</t>
  </si>
  <si>
    <t>TAPAL DD TEA BAG Rs 250</t>
  </si>
  <si>
    <t>815096001141</t>
  </si>
  <si>
    <t>TAPAL DD 85GM Rs 190</t>
  </si>
  <si>
    <t>815096001158</t>
  </si>
  <si>
    <t>TAPAL DD 170GM Rs 380</t>
  </si>
  <si>
    <t>815096001868</t>
  </si>
  <si>
    <t>TEZDAM 170G Rs 380</t>
  </si>
  <si>
    <t>815096001981</t>
  </si>
  <si>
    <t>TAPAL LEMONGRASS JAR Rs 300</t>
  </si>
  <si>
    <t>815096002414</t>
  </si>
  <si>
    <t>TAPAL DD RS 50 Rs 50</t>
  </si>
  <si>
    <t>815096005088</t>
  </si>
  <si>
    <t>TAPAL DD Rs 30 Rs 30</t>
  </si>
  <si>
    <t>815096005224</t>
  </si>
  <si>
    <t>TAPAL DD RS 99 Rs 99</t>
  </si>
  <si>
    <t>815096005736</t>
  </si>
  <si>
    <t>TAPAL GREEN TEA RS 100 Rs 100</t>
  </si>
  <si>
    <t>815096006085</t>
  </si>
  <si>
    <t>TAPAL DD 430GM Rs 850</t>
  </si>
  <si>
    <t>8961103600080</t>
  </si>
  <si>
    <t>TEZDUM 85G Rs 190</t>
  </si>
  <si>
    <t>8961103600516</t>
  </si>
  <si>
    <t>TAPAL DD 350GM Rs 720</t>
  </si>
  <si>
    <t>8961103600530</t>
  </si>
  <si>
    <t>TAPAL DD 430G Rs 870</t>
  </si>
  <si>
    <t>8961103600547</t>
  </si>
  <si>
    <t>TAPAL RS:30 Rs 30</t>
  </si>
  <si>
    <t>8961103600554</t>
  </si>
  <si>
    <t>8961103600561</t>
  </si>
  <si>
    <t>TAPAL DD RS 100 Rs 100</t>
  </si>
  <si>
    <t>8961103600578</t>
  </si>
  <si>
    <t>TAPAL 85GM Rs 190</t>
  </si>
  <si>
    <t>8961103600585</t>
  </si>
  <si>
    <t>8961103600837</t>
  </si>
  <si>
    <t>TAPAL T BAGS 25S Rs 250</t>
  </si>
  <si>
    <t>8961103601063</t>
  </si>
  <si>
    <t>TAPAL GREEN TB Rs 250</t>
  </si>
  <si>
    <t>8961103601155</t>
  </si>
  <si>
    <t>GREEN TEA MIX Rs 260</t>
  </si>
  <si>
    <t>8961103601964</t>
  </si>
  <si>
    <t>TAPAL DD 170G CP Rs 360</t>
  </si>
  <si>
    <t>8961103601971</t>
  </si>
  <si>
    <t>TAPAL DD 430G CP Rs 850</t>
  </si>
  <si>
    <t>8961103602688</t>
  </si>
  <si>
    <t>TAPAL 430G 70 OFF CP Rs 900</t>
  </si>
  <si>
    <t>8961103602695</t>
  </si>
  <si>
    <t>TAPAL 900G 150OFF CP Rs 1800</t>
  </si>
  <si>
    <t>LIPTON YELLOW LABEL</t>
  </si>
  <si>
    <t>5063305006325</t>
  </si>
  <si>
    <t>LIPTON 170G Rs 400</t>
  </si>
  <si>
    <t>5063305011022</t>
  </si>
  <si>
    <t>LIPTON 430G Rs 1050</t>
  </si>
  <si>
    <t>5063305013187</t>
  </si>
  <si>
    <t>LIPTON JOJ 170G Rs 400</t>
  </si>
  <si>
    <t>PARTY JUICE</t>
  </si>
  <si>
    <t>8954247856543</t>
  </si>
  <si>
    <t>MUM WATER 1.5 Rs 60</t>
  </si>
  <si>
    <t>8957962043809</t>
  </si>
  <si>
    <t>PARTY JUICE 900ML Rs 130</t>
  </si>
  <si>
    <t>QTY</t>
  </si>
  <si>
    <t>TP</t>
  </si>
  <si>
    <t>Purchaise</t>
  </si>
  <si>
    <t>UPL</t>
  </si>
  <si>
    <t>CP</t>
  </si>
  <si>
    <t>RIN</t>
  </si>
  <si>
    <t>HERO</t>
  </si>
  <si>
    <t>MEGIC</t>
  </si>
  <si>
    <t>HISONS</t>
  </si>
  <si>
    <t>KOHINOOR IND</t>
  </si>
  <si>
    <t>ZIL</t>
  </si>
  <si>
    <t>SULTAN</t>
  </si>
  <si>
    <t>ENGRO FOODS</t>
  </si>
  <si>
    <t>EBM</t>
  </si>
  <si>
    <t xml:space="preserve">FAUJI </t>
  </si>
  <si>
    <t>NESTLE</t>
  </si>
  <si>
    <t>BAKE PARLER</t>
  </si>
  <si>
    <t>UNITED IND</t>
  </si>
  <si>
    <t>BABA AAPLE</t>
  </si>
  <si>
    <t>CARE COSMETICS</t>
  </si>
  <si>
    <t>ROSE PATAL</t>
  </si>
  <si>
    <t>SKIN WHITE</t>
  </si>
  <si>
    <t>SHAN FOODS</t>
  </si>
  <si>
    <t>SHANGRILA FOODS</t>
  </si>
  <si>
    <t>RECKIT</t>
  </si>
  <si>
    <t>KALA COLA</t>
  </si>
  <si>
    <t>LOREAL</t>
  </si>
  <si>
    <t>GHEE</t>
  </si>
  <si>
    <t>OLIVIA</t>
  </si>
  <si>
    <t>DENTIST</t>
  </si>
  <si>
    <t>MEDICAM</t>
  </si>
  <si>
    <t>DOCTOR</t>
  </si>
  <si>
    <t>ENGLISH</t>
  </si>
  <si>
    <t>GSK</t>
  </si>
  <si>
    <t>QARSHI</t>
  </si>
  <si>
    <t>TAPAL</t>
  </si>
  <si>
    <t>INDOME</t>
  </si>
  <si>
    <t>LBS ONION 90ML Rs 200</t>
  </si>
  <si>
    <t>COLGATE H 45G Rs 75</t>
  </si>
  <si>
    <t>NATIONAL QORMA SACHET Rs 80</t>
  </si>
  <si>
    <t>NOFEA</t>
  </si>
  <si>
    <t>TREET</t>
  </si>
  <si>
    <t>MOLPAD</t>
  </si>
  <si>
    <t>FAZAL SONS</t>
  </si>
  <si>
    <t>PULSE 500G Rs 275</t>
  </si>
  <si>
    <t>PULSE 1KG Rs 550</t>
  </si>
  <si>
    <t>PULSE 200G Rs 100</t>
  </si>
  <si>
    <t>CARE LOTION 57ML</t>
  </si>
  <si>
    <t>SHIELD LOTION</t>
  </si>
  <si>
    <t>BABY LOTION 60ML</t>
  </si>
  <si>
    <t>BABY OIL</t>
  </si>
  <si>
    <t>KESHIA ALMOND OIL 100ML Rs 260</t>
  </si>
  <si>
    <t>RP VALUE</t>
  </si>
  <si>
    <t>Grand Total</t>
  </si>
  <si>
    <t>SUNSILK 185ML B Rs 450</t>
  </si>
  <si>
    <t>SHANGRILA CHILI SAUCE 700ML</t>
  </si>
  <si>
    <t>SHANGRILA SOYA SAUCE 700ML</t>
  </si>
  <si>
    <t>LBS ONION 650ML</t>
  </si>
  <si>
    <t>LBS NS 175ML</t>
  </si>
  <si>
    <t>CHILI G 190G</t>
  </si>
  <si>
    <t>MAX PAST G 200G</t>
  </si>
  <si>
    <t>MAX LIQ 170ML</t>
  </si>
  <si>
    <t>PALMOLIVE TRY PACK</t>
  </si>
  <si>
    <t xml:space="preserve">LB CARE 70G </t>
  </si>
  <si>
    <t>LUX GREEN 100G</t>
  </si>
  <si>
    <t xml:space="preserve"> </t>
  </si>
  <si>
    <t xml:space="preserve">  </t>
  </si>
  <si>
    <t>SHAN KOFTA 55G</t>
  </si>
  <si>
    <t xml:space="preserve">SHAN SEEKH KABAB 50G </t>
  </si>
  <si>
    <t>SHAN CHICKEN W KARAI</t>
  </si>
  <si>
    <t>SHAN BIRYANI SACHET</t>
  </si>
  <si>
    <t>SHAN KARAI SACHET</t>
  </si>
  <si>
    <t>SHAN ACHAR GOSHT SACHET</t>
  </si>
  <si>
    <t>SHAN BUMBAI SACHET</t>
  </si>
  <si>
    <t>SHAN PULAO SACHET</t>
  </si>
  <si>
    <t>SHAN FISH SACHET</t>
  </si>
  <si>
    <t>SHAN SHAMI SACHET</t>
  </si>
  <si>
    <t>NATIONAL ACHAR GOSHT SACHET Rs 80</t>
  </si>
  <si>
    <t>NATIONAL NIHARI SACHET Rs 80</t>
  </si>
  <si>
    <t>NATIONAL FISH SACHET Rs 80</t>
  </si>
  <si>
    <t>NATIONAL SHAMI SACHET Rs 80</t>
  </si>
  <si>
    <t>LASAGNE 400G</t>
  </si>
  <si>
    <t xml:space="preserve"> QTY</t>
  </si>
  <si>
    <t xml:space="preserve">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</si>
</sst>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409]0.00;\(0.00\)"/>
    <numFmt numFmtId="165" formatCode="[$-10409]0;\(0\)"/>
    <numFmt numFmtId="166" formatCode="[$-10409]#,##0.00;\(#,##0.00\)"/>
    <numFmt numFmtId="168" formatCode="[$-10409]#,##0;\(#,##0\)"/>
  </numFmts>
  <fonts count="5" x14ac:knownFonts="1">
    <font>
      <sz val="11"/>
      <color rgb="FF000000"/>
      <name val="Calibri"/>
      <family val="2"/>
      <scheme val="minor"/>
    </font>
    <font>
      <sz val="11"/>
      <name val="Calibri"/>
      <family val="2"/>
    </font>
    <font>
      <b/>
      <sz val="10"/>
      <color rgb="FFFFFFFF"/>
      <name val="Tahoma"/>
      <family val="2"/>
    </font>
    <font>
      <b/>
      <sz val="8"/>
      <color rgb="FF4C68A2"/>
      <name val="Arial"/>
      <family val="2"/>
    </font>
    <font>
      <b/>
      <sz val="8"/>
      <color rgb="FF4D4D4D"/>
      <name val="Arial"/>
      <family val="2"/>
    </font>
  </fonts>
  <fills count="7">
    <fill>
      <patternFill patternType="none"/>
    </fill>
    <fill>
      <patternFill patternType="gray125"/>
    </fill>
    <fill>
      <patternFill patternType="solid">
        <fgColor rgb="FFFF69B4"/>
        <bgColor rgb="FFFF69B4"/>
      </patternFill>
    </fill>
    <fill>
      <patternFill patternType="solid">
        <fgColor rgb="FF4C68A2"/>
        <bgColor rgb="FF4C68A2"/>
      </patternFill>
    </fill>
    <fill>
      <patternFill patternType="solid">
        <fgColor rgb="FFE6EEFC"/>
        <bgColor rgb="FFE6EEFC"/>
      </patternFill>
    </fill>
    <fill>
      <patternFill patternType="solid">
        <fgColor rgb="FFFFFF00"/>
        <bgColor indexed="64"/>
      </patternFill>
    </fill>
    <fill>
      <patternFill patternType="solid">
        <fgColor rgb="FFFFFF00"/>
        <bgColor rgb="FFE6EEFC"/>
      </patternFill>
    </fill>
  </fills>
  <borders count="6">
    <border>
      <left/>
      <right/>
      <top/>
      <bottom/>
      <diagonal/>
    </border>
    <border>
      <left style="thin">
        <color rgb="FF7292CC"/>
      </left>
      <right style="thin">
        <color rgb="FF7292CC"/>
      </right>
      <top style="thin">
        <color rgb="FF7292CC"/>
      </top>
      <bottom style="thin">
        <color rgb="FF7292CC"/>
      </bottom>
      <diagonal/>
    </border>
    <border>
      <left style="thin">
        <color rgb="FFFFFFFF"/>
      </left>
      <right style="thin">
        <color rgb="FFFFFFFF"/>
      </right>
      <top style="thin">
        <color rgb="FFFFFFFF"/>
      </top>
      <bottom style="thin">
        <color rgb="FFFFFFFF"/>
      </bottom>
      <diagonal/>
    </border>
    <border>
      <left style="thin">
        <color rgb="FFE5E5E5"/>
      </left>
      <right style="thin">
        <color rgb="FFE5E5E5"/>
      </right>
      <top style="thin">
        <color rgb="FFE5E5E5"/>
      </top>
      <bottom style="thin">
        <color rgb="FFE5E5E5"/>
      </bottom>
      <diagonal/>
    </border>
    <border>
      <left style="thin">
        <color rgb="FFFFFFFF"/>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1" fillId="0" borderId="0" xfId="0" applyFont="1"/>
    <xf numFmtId="0" fontId="2" fillId="3" borderId="1" xfId="0" applyFont="1" applyFill="1" applyBorder="1" applyAlignment="1">
      <alignment vertical="top" wrapText="1" readingOrder="1"/>
    </xf>
    <xf numFmtId="0" fontId="2" fillId="3" borderId="1" xfId="0" applyFont="1" applyFill="1" applyBorder="1" applyAlignment="1">
      <alignment horizontal="center" vertical="top" wrapText="1" readingOrder="1"/>
    </xf>
    <xf numFmtId="0" fontId="3" fillId="4" borderId="2" xfId="0" applyFont="1" applyFill="1" applyBorder="1" applyAlignment="1">
      <alignment vertical="top" wrapText="1" readingOrder="1"/>
    </xf>
    <xf numFmtId="0" fontId="4" fillId="0" borderId="3" xfId="0" applyFont="1" applyBorder="1" applyAlignment="1">
      <alignment vertical="top" wrapText="1" readingOrder="1"/>
    </xf>
    <xf numFmtId="164" fontId="4" fillId="0" borderId="3" xfId="0" applyNumberFormat="1" applyFont="1" applyBorder="1" applyAlignment="1">
      <alignment horizontal="center" vertical="top" wrapText="1" readingOrder="1"/>
    </xf>
    <xf numFmtId="165" fontId="4" fillId="0" borderId="3" xfId="0" applyNumberFormat="1" applyFont="1" applyBorder="1" applyAlignment="1">
      <alignment horizontal="center" vertical="top" wrapText="1" readingOrder="1"/>
    </xf>
    <xf numFmtId="166" fontId="4" fillId="0" borderId="3" xfId="0" applyNumberFormat="1" applyFont="1" applyBorder="1" applyAlignment="1">
      <alignment horizontal="center" vertical="top" wrapText="1" readingOrder="1"/>
    </xf>
    <xf numFmtId="0" fontId="1" fillId="4" borderId="4" xfId="0" applyFont="1" applyFill="1" applyBorder="1" applyAlignment="1">
      <alignment vertical="top" wrapText="1"/>
    </xf>
    <xf numFmtId="166" fontId="1" fillId="0" borderId="0" xfId="0" applyNumberFormat="1" applyFont="1"/>
    <xf numFmtId="165" fontId="4" fillId="5" borderId="3" xfId="0" applyNumberFormat="1" applyFont="1" applyFill="1" applyBorder="1" applyAlignment="1">
      <alignment horizontal="center" vertical="top" wrapText="1" readingOrder="1"/>
    </xf>
    <xf numFmtId="0" fontId="1" fillId="4" borderId="2" xfId="0" applyFont="1" applyFill="1" applyBorder="1" applyAlignment="1">
      <alignment vertical="top" wrapText="1"/>
    </xf>
    <xf numFmtId="0" fontId="3" fillId="4" borderId="4" xfId="0" applyFont="1" applyFill="1" applyBorder="1" applyAlignment="1">
      <alignment vertical="top" wrapText="1" readingOrder="1"/>
    </xf>
    <xf numFmtId="1" fontId="4" fillId="0" borderId="3" xfId="0" applyNumberFormat="1" applyFont="1" applyBorder="1" applyAlignment="1">
      <alignment horizontal="center" vertical="center" wrapText="1" readingOrder="1"/>
    </xf>
    <xf numFmtId="0" fontId="1" fillId="0" borderId="5" xfId="0" applyFont="1" applyBorder="1" applyAlignment="1">
      <alignment horizontal="center"/>
    </xf>
    <xf numFmtId="0" fontId="1" fillId="5" borderId="5" xfId="0" applyFont="1" applyFill="1" applyBorder="1" applyAlignment="1">
      <alignment horizontal="center"/>
    </xf>
    <xf numFmtId="0" fontId="1" fillId="5" borderId="0" xfId="0" applyFont="1" applyFill="1"/>
    <xf numFmtId="0" fontId="1" fillId="0" borderId="0" xfId="0" applyFont="1" applyAlignment="1">
      <alignment horizontal="center" vertical="center"/>
    </xf>
    <xf numFmtId="0" fontId="2" fillId="3" borderId="5" xfId="0" applyFont="1" applyFill="1" applyBorder="1" applyAlignment="1">
      <alignment vertical="top" wrapText="1" readingOrder="1"/>
    </xf>
    <xf numFmtId="0" fontId="2" fillId="3" borderId="5" xfId="0" applyFont="1" applyFill="1" applyBorder="1" applyAlignment="1">
      <alignment horizontal="center" vertical="top" wrapText="1" readingOrder="1"/>
    </xf>
    <xf numFmtId="0" fontId="2" fillId="3" borderId="5" xfId="0" applyFont="1" applyFill="1" applyBorder="1" applyAlignment="1">
      <alignment horizontal="center" vertical="center" wrapText="1" readingOrder="1"/>
    </xf>
    <xf numFmtId="0" fontId="3" fillId="4" borderId="5" xfId="0" applyFont="1" applyFill="1" applyBorder="1" applyAlignment="1">
      <alignment vertical="top" wrapText="1" readingOrder="1"/>
    </xf>
    <xf numFmtId="0" fontId="4" fillId="0" borderId="5" xfId="0" applyFont="1" applyBorder="1" applyAlignment="1">
      <alignment vertical="top" wrapText="1" readingOrder="1"/>
    </xf>
    <xf numFmtId="164" fontId="4" fillId="0" borderId="5" xfId="0" applyNumberFormat="1" applyFont="1" applyBorder="1" applyAlignment="1">
      <alignment horizontal="center" vertical="top" wrapText="1" readingOrder="1"/>
    </xf>
    <xf numFmtId="165" fontId="4" fillId="5" borderId="5" xfId="0" applyNumberFormat="1" applyFont="1" applyFill="1" applyBorder="1" applyAlignment="1">
      <alignment horizontal="center" vertical="top" wrapText="1" readingOrder="1"/>
    </xf>
    <xf numFmtId="166" fontId="4" fillId="0" borderId="5" xfId="0" applyNumberFormat="1" applyFont="1" applyBorder="1" applyAlignment="1">
      <alignment horizontal="center" vertical="top" wrapText="1" readingOrder="1"/>
    </xf>
    <xf numFmtId="165" fontId="4" fillId="0" borderId="5" xfId="0" applyNumberFormat="1" applyFont="1" applyBorder="1" applyAlignment="1">
      <alignment horizontal="center" vertical="top" wrapText="1" readingOrder="1"/>
    </xf>
    <xf numFmtId="0" fontId="3" fillId="6" borderId="5" xfId="0" applyFont="1" applyFill="1" applyBorder="1" applyAlignment="1">
      <alignment vertical="top" wrapText="1" readingOrder="1"/>
    </xf>
    <xf numFmtId="0" fontId="4" fillId="5" borderId="5" xfId="0" applyFont="1" applyFill="1" applyBorder="1" applyAlignment="1">
      <alignment vertical="top" wrapText="1" readingOrder="1"/>
    </xf>
    <xf numFmtId="164" fontId="4" fillId="5" borderId="5" xfId="0" applyNumberFormat="1" applyFont="1" applyFill="1" applyBorder="1" applyAlignment="1">
      <alignment horizontal="center" vertical="top" wrapText="1" readingOrder="1"/>
    </xf>
    <xf numFmtId="166" fontId="4" fillId="5" borderId="5" xfId="0" applyNumberFormat="1" applyFont="1" applyFill="1" applyBorder="1" applyAlignment="1">
      <alignment horizontal="center" vertical="top" wrapText="1" readingOrder="1"/>
    </xf>
    <xf numFmtId="0" fontId="1" fillId="4" borderId="5" xfId="0" applyFont="1" applyFill="1" applyBorder="1" applyAlignment="1">
      <alignment vertical="top" wrapText="1"/>
    </xf>
    <xf numFmtId="0" fontId="1" fillId="6" borderId="5" xfId="0" applyFont="1" applyFill="1" applyBorder="1" applyAlignment="1">
      <alignment vertical="top" wrapText="1"/>
    </xf>
    <xf numFmtId="0" fontId="1" fillId="0" borderId="0" xfId="0" pivotButton="1" applyFont="1"/>
    <xf numFmtId="1" fontId="4" fillId="0" borderId="5" xfId="0" applyNumberFormat="1" applyFont="1" applyBorder="1" applyAlignment="1">
      <alignment horizontal="left" vertical="top" wrapText="1" readingOrder="1"/>
    </xf>
    <xf numFmtId="1" fontId="4" fillId="5" borderId="5" xfId="0" applyNumberFormat="1" applyFont="1" applyFill="1" applyBorder="1" applyAlignment="1">
      <alignment horizontal="left" vertical="top" wrapText="1" readingOrder="1"/>
    </xf>
    <xf numFmtId="1" fontId="4" fillId="0" borderId="5" xfId="0" applyNumberFormat="1" applyFont="1" applyBorder="1" applyAlignment="1">
      <alignment horizontal="left" vertical="center" wrapText="1" readingOrder="1"/>
    </xf>
    <xf numFmtId="0" fontId="1" fillId="0" borderId="0" xfId="0" applyFont="1"/>
    <xf numFmtId="0" fontId="2" fillId="2" borderId="0" xfId="0" applyFont="1" applyFill="1" applyAlignment="1">
      <alignment horizontal="center" vertical="top" wrapText="1" readingOrder="1"/>
    </xf>
    <xf numFmtId="0" fontId="1" fillId="2" borderId="0" xfId="0" applyFont="1" applyFill="1" applyAlignment="1">
      <alignment vertical="top" wrapText="1"/>
    </xf>
    <xf numFmtId="0" fontId="1" fillId="0" borderId="0" xfId="0" applyNumberFormat="1" applyFont="1" applyAlignment="1">
      <alignment horizontal="center" vertical="center"/>
    </xf>
    <xf numFmtId="0" fontId="1" fillId="0" borderId="0" xfId="0" applyFont="1" applyAlignment="1">
      <alignment horizontal="left"/>
    </xf>
    <xf numFmtId="1" fontId="1" fillId="0" borderId="0" xfId="0" applyNumberFormat="1" applyFont="1" applyAlignment="1">
      <alignment horizontal="left"/>
    </xf>
    <xf numFmtId="168" fontId="1" fillId="0" borderId="0" xfId="0" applyNumberFormat="1" applyFont="1" applyAlignment="1">
      <alignment horizontal="center" vertical="center"/>
    </xf>
  </cellXfs>
  <cellStyles count="1">
    <cellStyle name="Normal" xfId="0" builtinId="0"/>
  </cellStyles>
  <dxfs count="222">
    <dxf>
      <alignment vertical="center"/>
    </dxf>
    <dxf>
      <alignment horizontal="center"/>
    </dxf>
    <dxf>
      <numFmt numFmtId="167" formatCode="[$-10409]#,##0.0;\(#,##0.0\)"/>
    </dxf>
    <dxf>
      <numFmt numFmtId="168" formatCode="[$-10409]#,##0;\(#,##0\)"/>
    </dxf>
    <dxf>
      <alignment horizontal="center" readingOrder="0"/>
    </dxf>
    <dxf>
      <alignment horizontal="center" readingOrder="0"/>
    </dxf>
    <dxf>
      <alignment vertical="center" readingOrder="0"/>
    </dxf>
    <dxf>
      <alignment vertical="center" readingOrder="0"/>
    </dxf>
    <dxf>
      <alignment horizontal="left" readingOrder="0"/>
    </dxf>
    <dxf>
      <alignment horizontal="left" readingOrder="0"/>
    </dxf>
    <dxf>
      <numFmt numFmtId="1" formatCode="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numFmt numFmtId="167" formatCode="[$-10409]#,##0.0;\(#,##0.0\)"/>
    </dxf>
    <dxf>
      <alignment horizontal="center" readingOrder="0"/>
    </dxf>
    <dxf>
      <alignment horizontal="center" readingOrder="0"/>
    </dxf>
    <dxf>
      <alignment vertical="center" readingOrder="0"/>
    </dxf>
    <dxf>
      <alignment vertical="center" readingOrder="0"/>
    </dxf>
    <dxf>
      <alignment horizontal="left" readingOrder="0"/>
    </dxf>
    <dxf>
      <alignment horizontal="left" readingOrder="0"/>
    </dxf>
    <dxf>
      <numFmt numFmtId="1" formatCode="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alignment horizontal="center" readingOrder="0"/>
    </dxf>
    <dxf>
      <alignment horizontal="center" readingOrder="0"/>
    </dxf>
    <dxf>
      <alignment vertical="center" readingOrder="0"/>
    </dxf>
    <dxf>
      <alignment vertical="center" readingOrder="0"/>
    </dxf>
    <dxf>
      <alignment horizontal="left" readingOrder="0"/>
    </dxf>
    <dxf>
      <alignment horizontal="left" readingOrder="0"/>
    </dxf>
    <dxf>
      <numFmt numFmtId="1" formatCode="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alignment horizontal="center" readingOrder="0"/>
    </dxf>
    <dxf>
      <alignment horizontal="center" readingOrder="0"/>
    </dxf>
    <dxf>
      <alignment vertical="center" readingOrder="0"/>
    </dxf>
    <dxf>
      <alignment vertical="center" readingOrder="0"/>
    </dxf>
    <dxf>
      <alignment horizontal="left" readingOrder="0"/>
    </dxf>
    <dxf>
      <alignment horizontal="left" readingOrder="0"/>
    </dxf>
    <dxf>
      <numFmt numFmtId="1" formatCode="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alignment horizontal="center" readingOrder="0"/>
    </dxf>
    <dxf>
      <alignment horizontal="center" readingOrder="0"/>
    </dxf>
    <dxf>
      <alignment vertical="center" readingOrder="0"/>
    </dxf>
    <dxf>
      <alignment vertical="center" readingOrder="0"/>
    </dxf>
    <dxf>
      <alignment horizontal="left" readingOrder="0"/>
    </dxf>
    <dxf>
      <alignment horizontal="left" readingOrder="0"/>
    </dxf>
    <dxf>
      <numFmt numFmtId="1" formatCode="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alignment horizontal="center" readingOrder="0"/>
    </dxf>
    <dxf>
      <alignment horizontal="center" readingOrder="0"/>
    </dxf>
    <dxf>
      <alignment vertical="center" readingOrder="0"/>
    </dxf>
    <dxf>
      <alignment vertical="center" readingOrder="0"/>
    </dxf>
    <dxf>
      <alignment horizontal="left" readingOrder="0"/>
    </dxf>
    <dxf>
      <alignment horizontal="left" readingOrder="0"/>
    </dxf>
    <dxf>
      <numFmt numFmtId="1" formatCode="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alignment horizontal="center" readingOrder="0"/>
    </dxf>
    <dxf>
      <alignment horizontal="center" readingOrder="0"/>
    </dxf>
    <dxf>
      <alignment vertical="center" readingOrder="0"/>
    </dxf>
    <dxf>
      <alignment vertical="center" readingOrder="0"/>
    </dxf>
    <dxf>
      <alignment horizontal="left" readingOrder="0"/>
    </dxf>
    <dxf>
      <alignment horizontal="left" readingOrder="0"/>
    </dxf>
    <dxf>
      <numFmt numFmtId="1" formatCode="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alignment horizontal="center" readingOrder="0"/>
    </dxf>
    <dxf>
      <alignment horizontal="center" readingOrder="0"/>
    </dxf>
    <dxf>
      <alignment vertical="center" readingOrder="0"/>
    </dxf>
    <dxf>
      <alignment vertical="center" readingOrder="0"/>
    </dxf>
    <dxf>
      <alignment horizontal="left" readingOrder="0"/>
    </dxf>
    <dxf>
      <alignment horizontal="left" readingOrder="0"/>
    </dxf>
    <dxf>
      <numFmt numFmtId="1" formatCode="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alignment horizontal="center" readingOrder="0"/>
    </dxf>
    <dxf>
      <alignment horizontal="center" readingOrder="0"/>
    </dxf>
    <dxf>
      <alignment vertical="center" readingOrder="0"/>
    </dxf>
    <dxf>
      <alignment vertical="center" readingOrder="0"/>
    </dxf>
    <dxf>
      <alignment horizontal="left" readingOrder="0"/>
    </dxf>
    <dxf>
      <alignment horizontal="left" readingOrder="0"/>
    </dxf>
    <dxf>
      <numFmt numFmtId="1" formatCode="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center" readingOrder="0"/>
    </dxf>
    <dxf>
      <numFmt numFmtId="1" formatCode="0"/>
    </dxf>
    <dxf>
      <alignment horizontal="left" readingOrder="0"/>
    </dxf>
    <dxf>
      <numFmt numFmtId="1" formatCode="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numFmt numFmtId="1" formatCode="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center" readingOrder="0"/>
    </dxf>
    <dxf>
      <numFmt numFmtId="1" formatCode="0"/>
    </dxf>
    <dxf>
      <alignment horizontal="left" readingOrder="0"/>
    </dxf>
    <dxf>
      <numFmt numFmtId="1" formatCode="0"/>
    </dxf>
    <dxf>
      <alignment horizontal="left" readingOrder="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alignment horizontal="left" readingOrder="0"/>
    </dxf>
    <dxf>
      <numFmt numFmtId="1" formatCode="0"/>
    </dxf>
    <dxf>
      <numFmt numFmtId="1" formatCode="0"/>
    </dxf>
    <dxf>
      <alignment horizontal="left" readingOrder="0"/>
    </dxf>
    <dxf>
      <alignment horizontal="left" readingOrder="0"/>
    </dxf>
    <dxf>
      <alignment vertical="center" readingOrder="0"/>
    </dxf>
    <dxf>
      <alignment vertical="center" readingOrder="0"/>
    </dxf>
    <dxf>
      <alignment horizontal="center" readingOrder="0"/>
    </dxf>
    <dxf>
      <alignment horizontal="center" readingOrder="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400D3"/>
      <rgbColor rgb="00FF69B4"/>
      <rgbColor rgb="00FFFFFF"/>
      <rgbColor rgb="00800080"/>
      <rgbColor rgb="004C68A2"/>
      <rgbColor rgb="007292CC"/>
      <rgbColor rgb="00E6EEFC"/>
      <rgbColor rgb="00E5E5E5"/>
      <rgbColor rgb="004D4D4D"/>
      <rgbColor rgb="00000080"/>
      <rgbColor rgb="00808000"/>
      <rgbColor rgb="000000FF"/>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8</xdr:col>
      <xdr:colOff>190500</xdr:colOff>
      <xdr:row>0</xdr:row>
      <xdr:rowOff>95250</xdr:rowOff>
    </xdr:from>
    <xdr:to>
      <xdr:col>11</xdr:col>
      <xdr:colOff>190500</xdr:colOff>
      <xdr:row>13</xdr:row>
      <xdr:rowOff>142875</xdr:rowOff>
    </xdr:to>
    <mc:AlternateContent xmlns:mc="http://schemas.openxmlformats.org/markup-compatibility/2006" xmlns:a14="http://schemas.microsoft.com/office/drawing/2010/main">
      <mc:Choice Requires="a14">
        <xdr:graphicFrame macro="">
          <xdr:nvGraphicFramePr>
            <xdr:cNvPr id="2" name="Company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Company "/>
            </a:graphicData>
          </a:graphic>
        </xdr:graphicFrame>
      </mc:Choice>
      <mc:Fallback xmlns="">
        <xdr:sp macro="" textlink="">
          <xdr:nvSpPr>
            <xdr:cNvPr id="0" name=""/>
            <xdr:cNvSpPr>
              <a:spLocks noTextEdit="1"/>
            </xdr:cNvSpPr>
          </xdr:nvSpPr>
          <xdr:spPr>
            <a:xfrm>
              <a:off x="9401175" y="95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HAM HADI n HURRAIN" refreshedDate="46179.711363541668" createdVersion="5" refreshedVersion="5" minRefreshableVersion="3" recordCount="439" xr:uid="{00000000-000A-0000-FFFF-FFFF01000000}">
  <cacheSource type="worksheet">
    <worksheetSource ref="A11:M464" sheet="stock_in_hand (2)"/>
  </cacheSource>
  <cacheFields count="13">
    <cacheField name="Profit Center" numFmtId="0">
      <sharedItems/>
    </cacheField>
    <cacheField name="Company " numFmtId="0">
      <sharedItems count="56">
        <s v="CORPORATE"/>
        <s v="RECKIT"/>
        <s v="TARA"/>
        <s v="REHMAT"/>
        <s v="DAAL"/>
        <s v="HERO"/>
        <s v="MEGIC"/>
        <s v="HISONS"/>
        <s v="POPULAR"/>
        <s v="PHENYLE"/>
        <s v="TREET CORPORATION"/>
        <s v="KOHINOOR IND"/>
        <s v="SULTAN"/>
        <s v="INDOME"/>
        <s v="FAUJI "/>
        <s v="NESTLE"/>
        <s v="YEAST"/>
        <s v="KOLY"/>
        <s v="YOUNGS"/>
        <s v="KOLSON"/>
        <s v="BAKE PARLER"/>
        <s v="BABA AAPLE"/>
        <s v="FEEDER"/>
        <s v="CARE COSMETICS"/>
        <s v="ROSE PATAL"/>
        <s v="GOLDEN PEARL"/>
        <s v="POWDER"/>
        <s v="PERFUME"/>
        <s v="SKIN WHITE"/>
        <s v="NATIONAL FOODS"/>
        <s v="SHAN FOODS"/>
        <s v="SHANGRILA FOODS"/>
        <s v="NOFEA"/>
        <s v="MOLPAD"/>
        <s v="PNG"/>
        <s v="UPL"/>
        <s v="GROCERY"/>
        <s v="KALA COLA"/>
        <s v="SAMSOLE"/>
        <s v="LOREAL"/>
        <s v="OLIVIA"/>
        <s v="FAZAL SONS"/>
        <s v="FRINA STORM"/>
        <s v="OTHERS"/>
        <s v="CP"/>
        <s v="MEDICAM"/>
        <s v="DOCTOR"/>
        <s v="DENTIST"/>
        <s v="ENGLISH"/>
        <s v="ENGRO FOODS"/>
        <s v="COKE"/>
        <s v="LIPTON"/>
        <s v="QARSHI"/>
        <s v="VITAL"/>
        <s v="TAPAL"/>
        <s v="SKIN CARE"/>
      </sharedItems>
    </cacheField>
    <cacheField name="Brand " numFmtId="0">
      <sharedItems count="117">
        <s v="RICE"/>
        <s v="DC COUNTER"/>
        <s v="OTHERS"/>
        <s v="GARAM MASALA"/>
        <s v="CORPORATE"/>
        <s v="DAAL"/>
        <s v="COKE"/>
        <s v="DENTIST BRUSH"/>
        <s v="SHOE POLISH"/>
        <s v="SKIN CARE PRODUCTS"/>
        <s v="SUGAR"/>
        <s v="MUX &amp; GOLD"/>
        <s v="OSAKA TAP"/>
        <s v="AATA"/>
        <s v="HARPIC"/>
        <s v="FINE"/>
        <s v="TIGER"/>
        <s v="STEPLER"/>
        <s v="PUNCH MACHINE"/>
        <s v="RUBBER"/>
        <s v="DASTA"/>
        <s v="MARKER"/>
        <s v="INK"/>
        <s v="POINTER"/>
        <s v="LED PENCIL"/>
        <s v="HERO SURF"/>
        <s v="MAGIC"/>
        <s v="NOVA"/>
        <s v="POPULAR"/>
        <s v="PHENYLE"/>
        <s v="TREET BLADE"/>
        <s v="TIBBET"/>
        <s v="SULTAN GHEE"/>
        <s v="SULTAN OIL"/>
        <s v="NOODLE"/>
        <s v="WHEAT PORRIDGE"/>
        <s v="CUSTARD"/>
        <s v="EVERYDAY"/>
        <s v="CERELAC"/>
        <s v="YEAST"/>
        <s v="KOLY"/>
        <s v="YOUNGS"/>
        <s v="KOLSON PRODUCTS"/>
        <s v="SPAGHETTI"/>
        <s v="MACARONI"/>
        <s v="SAVIAN"/>
        <s v="MASK"/>
        <s v="HAIR REMOVER"/>
        <s v="FACIAL"/>
        <s v="FEEDER"/>
        <s v="CARE LOTION"/>
        <s v="FACE WASH"/>
        <s v="HAND WASH"/>
        <s v="NIPPLE"/>
        <s v="ROSE PATTEL TISSUE"/>
        <s v="GOLDEN PEARL"/>
        <s v="POWDER"/>
        <s v="PERFUME"/>
        <s v="NATIONAL JAM"/>
        <s v="NATIONAL ACHAR"/>
        <s v="CHAT MASALA"/>
        <s v="SPICES - National"/>
        <s v="QORMA"/>
        <s v="KATCHUP-NATIONAL"/>
        <s v="BIRYANI"/>
        <s v="KARAI"/>
        <s v="SPICES - SHAN"/>
        <s v="SHANGRILA SAUCE"/>
        <s v="PAMPERS"/>
        <s v="MOLPAID"/>
        <s v="PANTENE"/>
        <s v="SAFEGUARD"/>
        <s v="POWER PLUS"/>
        <s v="DOVE"/>
        <s v="KATCHUP"/>
        <s v="KNORRE CUBE"/>
        <s v="KALA COLA"/>
        <s v="VIM"/>
        <s v="LIFE BUOY SHAMPOO"/>
        <s v="LIFE BUOY SOAP"/>
        <s v="LUX"/>
        <s v="SAMSOLE"/>
        <s v="LOREAL SHAMPOO"/>
        <s v="OLIVIA HAIR COLOR"/>
        <s v="ARIEL"/>
        <s v="RIN"/>
        <s v="SUNLIGHT"/>
        <s v="SUNSILK"/>
        <s v="SURF EXCEL"/>
        <s v="POP UP"/>
        <s v="TULIP"/>
        <s v="PARTIPACK"/>
        <s v="ROBIN"/>
        <s v="DETOLE"/>
        <s v="HOCKEY"/>
        <s v="SCCURER"/>
        <s v="TOOTH PICK"/>
        <s v="BONUS"/>
        <s v="BRITE"/>
        <s v="BRUSH"/>
        <s v="COLGATE PAST"/>
        <s v="EXPRESS"/>
        <s v="LEMON MAX"/>
        <s v="MEDICAM PAIST"/>
        <s v="DOCTOR PAIST"/>
        <s v="PALMOLIVE"/>
        <s v="PALMOLIVE SHAMPOO"/>
        <s v="ENGLISH PAIST"/>
        <s v="OLPER"/>
        <s v="TANG"/>
        <s v="PET BOTTLE"/>
        <s v="SUPREME"/>
        <s v="JAME SHEEREN"/>
        <s v="VITAL"/>
        <s v="TAPAL DD"/>
        <s v="SHIELD LOTION"/>
        <s v="BABY OIL"/>
      </sharedItems>
    </cacheField>
    <cacheField name="SKU" numFmtId="1">
      <sharedItems containsMixedTypes="1" containsNumber="1" containsInteger="1" minValue="6009679062405" maxValue="8964003820282" count="440">
        <s v="05"/>
        <s v="DC1"/>
        <s v="DC10"/>
        <s v="DC2"/>
        <s v="DC3"/>
        <s v="DC4"/>
        <s v="DC5"/>
        <s v="DC6"/>
        <s v="DC7"/>
        <s v="0571"/>
        <s v="0004"/>
        <s v="025"/>
        <s v="8801038123097"/>
        <s v="8966000062184"/>
        <s v="1"/>
        <s v="15"/>
        <s v="3"/>
        <s v="8964000064160"/>
        <s v="8858871806090"/>
        <s v="5449000051981"/>
        <s v="13"/>
        <s v="5"/>
        <s v="8966000017917"/>
        <s v="5545845845126"/>
        <s v="8964000139127"/>
        <s v="897121001173"/>
        <s v="03"/>
        <s v="0006"/>
        <s v="24"/>
        <s v="25"/>
        <s v="8964000578452"/>
        <s v="034"/>
        <s v="12"/>
        <s v="4"/>
        <s v="7"/>
        <s v="046"/>
        <s v="22"/>
        <s v="0013"/>
        <s v="0028"/>
        <s v="8966000062108"/>
        <s v="16"/>
        <s v="2"/>
        <s v="583"/>
        <s v="18"/>
        <s v="01"/>
        <s v="0020"/>
        <s v="27"/>
        <s v="28"/>
        <s v="23"/>
        <s v="30"/>
        <s v="32"/>
        <s v="35"/>
        <s v="8962222014123"/>
        <s v="585"/>
        <s v="19"/>
        <s v="017"/>
        <s v="013"/>
        <s v="47"/>
        <s v="0753692069144"/>
        <s v="4904530591419"/>
        <s v="07"/>
        <s v="14"/>
        <s v="580"/>
        <s v="0016"/>
        <s v="0022"/>
        <s v="043"/>
        <s v="29"/>
        <s v="9783951261898"/>
        <s v="6972461050006"/>
        <s v="36"/>
        <s v="37"/>
        <s v="0012"/>
        <s v="0024"/>
        <s v="044"/>
        <s v="035"/>
        <s v="609"/>
        <s v="33"/>
        <s v="39"/>
        <s v="41"/>
        <s v="42"/>
        <s v="45"/>
        <s v="49"/>
        <s v="6926292553045"/>
        <s v="060"/>
        <s v="0017"/>
        <s v="0009"/>
        <s v="0023"/>
        <s v="44"/>
        <s v="0031"/>
        <s v="02"/>
        <s v="028"/>
        <s v="46"/>
        <s v="0019"/>
        <s v="20"/>
        <s v="0018"/>
        <s v="579"/>
        <s v="8964000045220"/>
        <s v="581"/>
        <s v="6001106114619"/>
        <s v="8964002686858"/>
        <s v="3656568979554"/>
        <s v="8962222014031"/>
        <s v="6921734902214"/>
        <s v="6921734903068"/>
        <s v="6943788910168"/>
        <s v="6943788910014"/>
        <s v="60"/>
        <s v="742761777165"/>
        <s v="56"/>
        <s v="8964001268826"/>
        <s v="695240105037"/>
        <s v="695240201579"/>
        <s v="61"/>
        <s v="6233375272701"/>
        <s v="54"/>
        <s v="695240210342"/>
        <s v="8964001269373"/>
        <s v="8964001385028"/>
        <s v="8964001385387"/>
        <s v="1456887225231"/>
        <s v="1456887225286"/>
        <s v="8960090000200"/>
        <s v="8960090000040"/>
        <s v="788364694041"/>
        <s v="788364694058"/>
        <s v="788364694102"/>
        <s v="788364694119"/>
        <s v="9783651262287"/>
        <s v="073982206807"/>
        <s v="7389880827253"/>
        <s v="7398220003295"/>
        <s v="8964000767108"/>
        <s v="8964000768471"/>
        <s v="8964000768983"/>
        <s v="8961100001019"/>
        <s v="8964000686751"/>
        <s v="8964000686874"/>
        <s v="8964000686881"/>
        <s v="8964000686355"/>
        <s v="8964000686577"/>
        <s v="8964000686799"/>
        <s v="089686120660"/>
        <s v="8964000064177"/>
        <s v="8964000064153"/>
        <s v="8961008217604"/>
        <s v="8961008221717"/>
        <s v="8961008220345"/>
        <s v="8961008221700"/>
        <s v="078600626005"/>
        <s v="6788947656392"/>
        <s v="8854724200077"/>
        <s v="8858871806939"/>
        <s v="8858871812084"/>
        <s v="0001"/>
        <s v="8964000061107"/>
        <s v="8964000061114"/>
        <s v="8964000061183"/>
        <s v="671866116664"/>
        <s v="1358946337964"/>
        <s v="1358946338190"/>
        <s v="1358946338572"/>
        <s v="1358946338992"/>
        <s v="1358946339012"/>
        <s v="1358946343668"/>
        <s v="3572242274626"/>
        <s v="3575253739467"/>
        <s v="3575272462506"/>
        <s v="1358946340148"/>
        <s v="3570004726437"/>
        <s v="3570011726437"/>
        <s v="3570127726437"/>
        <s v="3577627837205"/>
        <s v="2365472054455"/>
        <s v="1224463116620"/>
        <s v="4563214589427"/>
        <s v="6009679062573"/>
        <s v="9230164223385"/>
        <s v="9230513700000"/>
        <s v="9230164223392"/>
        <s v="8964002137985"/>
        <s v="6009679065222"/>
        <s v="6009679065239"/>
        <s v="6009679063853"/>
        <s v="8961102860096"/>
        <s v="6009679061255"/>
        <s v="6009679061262"/>
        <s v="8964001492351"/>
        <s v="8961006010016"/>
        <s v="8961006020046"/>
        <s v="8961006040129"/>
        <s v="8961006040136"/>
        <s v="8961006070805"/>
        <s v="151973298090"/>
        <s v="8964001078586"/>
        <s v="8961100001408"/>
        <s v="8961100040049"/>
        <s v="732388510832"/>
        <s v="8964000578001"/>
        <s v="8964002548569"/>
        <s v="620514001937"/>
        <s v="620514015705"/>
        <s v="620514001029"/>
        <s v="620514004044"/>
        <s v="620514010359"/>
        <s v="620514000565"/>
        <s v="620514008721"/>
        <s v="620514015545"/>
        <s v="620514019055"/>
        <s v="620514021102"/>
        <s v="620514008530"/>
        <s v="620514000275"/>
        <s v="620514000404"/>
        <s v="620514000237"/>
        <s v="620514000589"/>
        <s v="620514000770"/>
        <s v="620514001500"/>
        <s v="620514008738"/>
        <s v="620514008806"/>
        <s v="620514009872"/>
        <s v="620514019031"/>
        <s v="620514019215"/>
        <s v="620514020068"/>
        <s v="620514021201"/>
        <s v="620514000060"/>
        <s v="620514000602"/>
        <s v="620514001692"/>
        <s v="620514009926"/>
        <s v="620514006130"/>
        <s v="620514019024"/>
        <s v="788821001269"/>
        <s v="788821001276"/>
        <s v="788821001290"/>
        <s v="788821001313"/>
        <s v="788821001368"/>
        <s v="788821001382"/>
        <s v="788821005137"/>
        <s v="788821005205"/>
        <s v="788821005441"/>
        <s v="788821005472"/>
        <s v="788821023452"/>
        <s v="788821024107"/>
        <s v="788821024367"/>
        <s v="788821024374"/>
        <s v="788821150127"/>
        <s v="788821150134"/>
        <s v="788821150141"/>
        <s v="788821150219"/>
        <s v="788821150363"/>
        <s v="788821150394"/>
        <s v="788821150431"/>
        <s v="788821150684"/>
        <s v="788821150790"/>
        <s v="788821150936"/>
        <s v="788821151117"/>
        <s v="788821151247"/>
        <s v="788821151261"/>
        <s v="788821152664"/>
        <s v="788821153098"/>
        <s v="620514019154"/>
        <s v="620514020785"/>
        <s v="8964002944071"/>
        <s v="620514009902"/>
        <s v="620514020778"/>
        <s v="620514009957"/>
        <s v="620514009896"/>
        <s v="8964000020005"/>
        <s v="8964000020081"/>
        <s v="8964000020104"/>
        <s v="8964000020180"/>
        <s v="8964000020203"/>
        <s v="8964000020289"/>
        <s v="8964000020296"/>
        <s v="8964000020340"/>
        <s v="8964000020661"/>
        <s v="8964000021576"/>
        <s v="8964000021583"/>
        <s v="8964000021934"/>
        <n v="8964000020197"/>
        <n v="8964000020098"/>
        <s v="8964000843819"/>
        <s v="8964002893782"/>
        <s v="9783651261891"/>
        <s v="8964003062996"/>
        <s v="8964002893805"/>
        <s v="8700216021647"/>
        <s v="8001090791184"/>
        <s v="8001841494180"/>
        <s v="8964002893775"/>
        <s v="8001841420677"/>
        <s v="1020304050609"/>
        <s v="8961014018165"/>
        <s v="8961014018172"/>
        <s v="8961014264470"/>
        <s v="8961014266696"/>
        <s v="8961014266832"/>
        <s v="8961014032130"/>
        <n v="8961014034806"/>
        <s v="8961014034196"/>
        <s v="63"/>
        <s v="64"/>
        <s v="8961102860317"/>
        <s v="8961014250695"/>
        <s v="8961014250688"/>
        <s v="8961014266078"/>
        <n v="8961014266153"/>
        <n v="8961014266931"/>
        <s v="8961014266061"/>
        <s v="8961014263008"/>
        <s v="8961014261059"/>
        <s v="8961014255799"/>
        <s v="8961014262919"/>
        <n v="8961014263732"/>
        <n v="8961014255126"/>
        <s v="8961014268409"/>
        <s v="8961014255072"/>
        <s v="182039000067"/>
        <s v="182039000074"/>
        <s v="8964000888018"/>
        <s v="3610340654251"/>
        <s v="3610340655425"/>
        <s v="858167000025"/>
        <s v="858167000032"/>
        <s v="858167000049"/>
        <s v="858167000056"/>
        <s v="858167000070"/>
        <s v="858167000100"/>
        <s v="858167000575"/>
        <s v="6068357302370"/>
        <s v="8961014268454"/>
        <s v="8964003062965"/>
        <s v="8700216736817"/>
        <s v="925100009206"/>
        <s v="8964001250746"/>
        <s v="8964003062316"/>
        <s v="8964003062972"/>
        <s v="8964002895830"/>
        <s v="8964003062309"/>
        <s v="8961014268348"/>
        <s v="8961014257472"/>
        <s v="8961014268355"/>
        <s v="8961014038163"/>
        <s v="8961014038385"/>
        <s v="8961014038200"/>
        <s v="8961014261684"/>
        <s v="8961014265354"/>
        <s v="8961014265248"/>
        <s v="8961014256000"/>
        <s v="8961014265309"/>
        <s v="8961014265606"/>
        <s v="8961014265675"/>
        <s v="8961014265705"/>
        <s v="8961014265620"/>
        <s v="8961014261363"/>
        <s v="8961006040044"/>
        <s v="8961006070911"/>
        <s v="6224008817222"/>
        <s v="8961006010368"/>
        <s v="8961006040068"/>
        <s v="6001106309718"/>
        <s v="6001106209506"/>
        <s v="52"/>
        <s v="8964000037232"/>
        <s v="8961014265538"/>
        <s v="8961014268850"/>
        <s v="8961014264760"/>
        <s v="8961014265507"/>
        <s v="48"/>
        <s v="6921224065238"/>
        <s v="6933961560259"/>
        <s v="8886950013992"/>
        <s v="8886950018003"/>
        <s v="8886950015255"/>
        <s v="8886950016009"/>
        <s v="8886950015002"/>
        <s v="8886950092102"/>
        <s v="8886950051383"/>
        <s v="8886950052359"/>
        <s v="8886950066646"/>
        <s v="8886950056012"/>
        <s v="8886950056036"/>
        <s v="8886950056043"/>
        <s v="8886950066684"/>
        <s v="8886950050225"/>
        <s v="8886950051048"/>
        <s v="8886950066592"/>
        <s v="8886950051420"/>
        <s v="8886950066660"/>
        <s v="8886950057224"/>
        <s v="8886950052397"/>
        <s v="8886950012520"/>
        <s v="8886950012537"/>
        <s v="8886950076232"/>
        <s v="8886950072449"/>
        <s v="8886950072494"/>
        <s v="8886950072487"/>
        <s v="8886950072463"/>
        <s v="6291101520137"/>
        <s v="6291101520151"/>
        <s v="8964000961681"/>
        <n v="8886950074498"/>
        <n v="8886950099477"/>
        <s v="8886950031910"/>
        <s v="8886950031903"/>
        <s v="8886950031927"/>
        <s v="8886950031842"/>
        <s v="8886950031897"/>
        <s v="8886950031880"/>
        <n v="8886950039381"/>
        <s v="8886950035048"/>
        <s v="8964000139110"/>
        <s v="8964000139325"/>
        <s v="6164003394017"/>
        <s v="8964000572498"/>
        <s v="8964002706181"/>
        <s v="8964000346549"/>
        <s v="7622202399633"/>
        <s v="7622201718664"/>
        <s v="42117131"/>
        <s v="5449000000286"/>
        <s v="5449000030245"/>
        <s v="5449000054227"/>
        <s v="5063305011077"/>
        <s v="5063305011084"/>
        <s v="855434000016"/>
        <s v="855434009675"/>
        <s v="8964000008003"/>
        <s v="815096001141"/>
        <s v="815096002414"/>
        <s v="815096005088"/>
        <s v="815096005224"/>
        <s v="8961103600516"/>
        <s v="8961103600585"/>
        <s v="8961103601063"/>
        <s v="8961103602688"/>
        <n v="8964003820282"/>
        <n v="8964003520275"/>
        <n v="6009679062405"/>
        <n v="8964002548569"/>
        <n v="8964002548545"/>
        <n v="8964000021576" u="1"/>
      </sharedItems>
    </cacheField>
    <cacheField name="SKU Description" numFmtId="0">
      <sharedItems count="449">
        <s v="DBL STM PONA RICE 500G Rs 140"/>
        <s v="DAAL MOONG 1KG Rs 400"/>
        <s v="KALE CHANNE Rs 260"/>
        <s v="DAAL MASOOR 1KG Rs 240"/>
        <s v="DAAL CHANNA 1KG Rs 210"/>
        <s v="BAISON 1KG Rs 240"/>
        <s v="DAAL MASH 1KG Rs 470"/>
        <s v="BASMATI SUPER RICE 1KG Rs 300"/>
        <s v="SUGAR 1KG Rs 150"/>
        <s v="ITEMS RS:10 Rs 10"/>
        <s v="CHUWARE 100GM Rs 60"/>
        <s v="KISHMISH RS:100 Rs 100"/>
        <s v="EYEBROW RAZOR Rs 120"/>
        <s v="SHOE SHINER NATURAL Rs 150"/>
        <s v="DAAL MASH 250GM Rs 120"/>
        <s v="BAISON 250GM Rs 95"/>
        <s v="DAAL CHANNA MOTI 250GM Rs 70"/>
        <s v="FAUJI DALYA 175G Rs 190"/>
        <s v="KOLLY PINE APPLE 565GM Rs 400"/>
        <s v="COKE PET Rs 1000"/>
        <s v="KALA CHANNA 500GM Rs 120"/>
        <s v="DAAL CHANNA SUPREME 1KG Rs 280"/>
        <s v="BROWN PIAZ Rs 250"/>
        <s v="COCO POWDER Rs 180"/>
        <s v="DENTIST BRUSH RS 250 Rs 250"/>
        <s v="ELFI Rs 30"/>
        <s v="KAINAT PURANI 2KG Rs 800"/>
        <s v="KHASH KHAS RS100 Rs 100"/>
        <s v="NARIAL RS:50 Rs 50"/>
        <s v="KISHMISH RS:60 Rs 60"/>
        <s v="SKIN WHITE SOAP Rs 150"/>
        <s v="DAAR CHINI RS:50 Rs 70"/>
        <s v="KALA CHANNA 250GM Rs 60"/>
        <s v="DAAL CHANNA MOTI 500GM Rs 140"/>
        <s v="DAAL MASOOR 250GM Rs 80"/>
        <s v="BASMATI TOTA RICE 500G Rs 120"/>
        <s v="SELA KAINAAT 500GM Rs 180"/>
        <s v="BROWN SUGAR RS:60 Rs 60"/>
        <s v="SHOE BRUSH Rs 180"/>
        <s v="SHOE SHINER BLACK Rs 150"/>
        <s v="BAISON 500GM Rs 190"/>
        <s v="DAAL MOONG250 GM Rs 100"/>
        <s v="HOLIDAY BAKING POWDER Rs 100"/>
        <s v="KAINAT PURANI 500GM Rs 190"/>
        <s v="BLANGU 100GM Rs 120"/>
        <s v="BADYAN 20GM Rs 50"/>
        <s v="SONF RS:50 Rs 50"/>
        <s v="DHANYA SALUM RS 50 Rs 50"/>
        <s v="SELA KAINAAT 1KG Rs 360"/>
        <s v="CHINA SALT 50GM Rs 50"/>
        <s v="ALAICHI CHOTI RS 100 Rs 100"/>
        <s v="KALI MIRCH RS:100 Rs 100"/>
        <s v="TIGER POWDER Rs 60"/>
        <s v="BAISON 1KG Rs 380"/>
        <s v="BASMATI TOTA RICE 1KG Rs 240"/>
        <s v="GARAM MASALA RS:200 Rs 200"/>
        <s v="BROWN SUGAR 500G Rs 125"/>
        <s v="SUGAR 500GM Rs 100"/>
        <s v="STEEL SOOBI Rs 60"/>
        <s v="TOSHIBA CLOCK CELL Rs 40"/>
        <s v="DAAL MASOOR 1KG Rs 320"/>
        <s v="KALA CHANNA 1000GM Rs 240"/>
        <s v="TRANSPARENT TAPE Rs 10 Rs 0"/>
        <s v="MAIDA 500GM Rs 80"/>
        <s v="MAITHI DANA RS50 Rs 50"/>
        <s v="MIRCH KUTWAN 200G Rs 200"/>
        <s v="DHANIYA POWDER RS 50 Rs 50"/>
        <s v="TOILET CLEANER 600ML Rs 130"/>
        <s v="LUDE POLISH Rs 110"/>
        <s v="LONG 20GM Rs 90"/>
        <s v="BARI ALAICHI RS:80 Rs 100"/>
        <s v="GUR 500GM Rs 100"/>
        <s v="AJWAIN 50GM Rs 50"/>
        <s v="MIRCH KHALIS 200GM Rs 200"/>
        <s v="KALI MIRCH 50G Rs 160"/>
        <s v="AATA 10KG Rs 1100"/>
        <s v="IMLI RS:50 Rs 50"/>
        <s v="BADAM RS:150 Rs 150"/>
        <s v="ANAR DANA RS:50 Rs 50"/>
        <s v="HALDI RS:50 Rs 50"/>
        <s v="MEETHA SODA RS 20 Rs 20"/>
        <s v="SUGAR 2KG Rs 320"/>
        <s v="NAIL CUTTER Rs 160"/>
        <s v="DAAL MASH 1KG Rs 480"/>
        <s v="G MASALA RS:100 Rs 100"/>
        <s v="TATRI Rs 14"/>
        <s v="RAI 20GM Rs 40"/>
        <s v="MIRCH KHALIS 100GM Rs 100"/>
        <s v="NIMKO/CHANNE RS:50 Rs 50"/>
        <s v="KAINAT PURANI 1KG Rs 400"/>
        <s v="DHANIA SALUM RS 100 Rs 100"/>
        <s v="KACHI TOTA 1KG Rs 160"/>
        <s v="JAIFAL 20GM Rs 50"/>
        <s v="KAINAT PONA RICE 1KG Rs 280"/>
        <s v="JALWATRI 10GM Rs 60"/>
        <s v="OSAKA TAPE Rs 50 Rs 50"/>
        <s v="HAIRWELL 02 Rs 80"/>
        <s v="EGGs Rs 20"/>
        <s v="HARPIC 225 ML Rs 200"/>
        <s v="HARPIC 450ML Rs 475"/>
        <s v="FINE NEEL Rs 60"/>
        <s v="TIGER COIL Rs 100"/>
        <s v="STEPLER BAHADUR N-221 Rs 340"/>
        <s v="STEPLER 0306 Rs 600"/>
        <s v="STEPLER BAHADUR N-10 Rs 300"/>
        <s v="PAPER PUNCH MACHINE Rs 420"/>
        <s v="DAAL MASH 500GM Rs 240"/>
        <s v="BAHADUR RUBBER B-45 Rs 10"/>
        <s v="DASTA B-5 50WALA Rs 50"/>
        <s v="PERMANENT MARKER Rs 50"/>
        <s v="INK BOARD MARKER Rs 100"/>
        <s v="DOLLOR INK RS:50 Rs 50"/>
        <s v="DAAL MOONG 500GM Rs 200"/>
        <s v="NAFEES INK Rs 15"/>
        <s v="BADAR SOAP Rs 70"/>
        <s v="DOLLOR POINTER Rs 30"/>
        <s v="BRITO LED TRIANGLE PENCIL Rs 20"/>
        <s v="HERO 1KG Rs 220"/>
        <s v="HERO RS:50 Rs 50"/>
        <s v="MAGIC 1KG Rs 300"/>
        <s v="MAGIC WASHING Rs 100"/>
        <s v="NOVA D WASH GELL Rs 160"/>
        <s v="NOVA DISHWASH RS20 Rs 20"/>
        <s v="PULSE 500G Rs 275"/>
        <s v="PULSE 1KG Rs 550"/>
        <s v="POPULAR 430G Rs 100"/>
        <s v="POPULAR 1KG Rs 230"/>
        <s v="PHENYLE 1 L Rs 100"/>
        <s v="TREET HYGIENE RAZOR Rs 50"/>
        <s v="TRIM RAZOR Rs 60"/>
        <s v="PLATINUM DABBI Rs 100"/>
        <s v="TREET 5 IN ONE Rs 150"/>
        <s v="TREET 3 BLADES Rs 150"/>
        <s v="SHAVING FOAM Rs 499"/>
        <s v="TIBBET CREAM ORIGINAL Rs 220"/>
        <s v="SULTAN PINK SALT Rs 90"/>
        <s v="SULTAN GHEE 500GM Rs 270"/>
        <s v="SULTAN GHEE 250GM Rs 135"/>
        <s v="SULTAN MUSTARD OIL 250ML Rs 150"/>
        <s v="SULTAN MUSTAR OIL 125ML Rs 80"/>
        <s v="SULTAN OIL 1 L Rs 550"/>
        <s v="NOODLE CHICK CHAT 125GM Rs 90"/>
        <s v="FAUJI DALYA 100gm Rs 120"/>
        <s v="FAUJI DALYA 250GM Rs 280"/>
        <s v="EVERYDAY ORIGINAL 350GM Rs 750"/>
        <s v="EVERYDAY  230GM Rs 500"/>
        <s v="CERELAC 3F SACHET Rs 50"/>
        <s v="EVERYDAY SACHET Rs 30"/>
        <s v="YEAST SACHET Rs 50"/>
        <s v="PINEAPPLE SLICES Rs 500"/>
        <s v="COCKTAIL MIX 540G Rs 550"/>
        <s v="KOLY MIX FRUIT 227GM Rs 350"/>
        <s v="KOLY MIX FRUIT 565G Rs 550"/>
        <s v="KEVERA Rs 120"/>
        <s v="YOUNGS MAYO 200GM Rs 180"/>
        <s v="YOUNGS MAYO 500GM Rs 380"/>
        <s v="YOUNGS MAYO SACHET Rs 50"/>
        <s v="SLANTY BLUE RS20 Rs 20"/>
        <s v="SPAGHETTI 450GM ITALIAN Rs 220"/>
        <s v="BP CHINES NOODLS Rs 160"/>
        <s v="BIG ELBOW MACARONI 400GM Rs 200"/>
        <s v="TWISTED MACARONI 400GM Rs 200"/>
        <s v="SHELL MACARONI 400GM Rs 200"/>
        <s v="MACARONI TIKKA 250GM Rs 150"/>
        <s v="ACHARI MACARONI 250GM Rs 150"/>
        <s v="BP JALREZI MACARONI 250GM Rs 150"/>
        <s v="BP CHICKEN LAZANIA 250GM Rs 210"/>
        <s v="COLOR SAVIAN 200GM Rs 70"/>
        <s v="BP SAVIAN 140G Rs 70"/>
        <s v="BP LUSH PUSH SAVIAN Rs 130"/>
        <s v="CUT SAVIAN 350GM Rs 90"/>
        <s v="BP ROASTED SAVIAN Rs 100"/>
        <s v="BLACK MASK BABA APPLE Rs 50"/>
        <s v="UBTAN MULTANI MITTI Rs 50"/>
        <s v="HALDI CHANDAN BLEACH Rs 80"/>
        <s v="HAIR REMOVER R SACHET Rs 50"/>
        <s v="BABA HAND &amp; FOOT BLEACH Rs 80"/>
        <s v="BABA BLEACH BLACK 50 Rs 50"/>
        <s v="WHITE FACIAL BABA Rs 80"/>
        <s v="SHIELD FEEDER W LARGE Rs 200"/>
        <s v="F&amp;JOY HF SHAMPOO Rs 800"/>
        <s v="F&amp;JOY BS SHAMPOO Rs 800"/>
        <s v="FACE WASH NEEM SMALL Rs 100"/>
        <s v="HAND WASH AURA Rs 300"/>
        <s v="CARE PH POWDER 150G Rs 350"/>
        <s v="CARE PH POWDER 100G Rs 280"/>
        <s v="SHIELD NIPPLE 60/UNIT Rs 50"/>
        <s v="ROSE PATAL LUXERY Rs 310"/>
        <s v="TULIP ROLL PINK Rs 60"/>
        <s v="PARTY PACK PINK Rs 230"/>
        <s v="PARTY PACK W TISSUE Rs 240"/>
        <s v="MAXOB ROLL TISSUE Rs 130"/>
        <s v="SANDAL CREAM Rs 360"/>
        <s v="GOLDEN PEARL CREAM Rs 360"/>
        <s v="TIBBET POWDER Rs 200"/>
        <s v="MEDORA POWDER Rs 230"/>
        <s v="AIR FRESHNER Rs 240"/>
        <s v="KESHIA COCONUT OIL 100ML Rs 260"/>
        <s v="NATIONAL JAM MANG 400GM Rs 340"/>
        <s v="NATIONAL CRUSHED 750GM Rs 700"/>
        <s v="NATIONAL CHAT MASALA Rs 120"/>
        <s v="NATIONAL TANDOORI 45G Rs 150"/>
        <s v="NATIONAL PULAO DBL Rs 290"/>
        <s v="NATIONAL QORMA Rs 150"/>
        <s v="NATIONAL BIRYAN 78GM Rs 290"/>
        <s v="NATIONAL BOMBAY BIRYANI Rs 150"/>
        <s v="NATIONAL NIHARI SACHET Rs 70"/>
        <s v="NIHARI MIX Rs 150"/>
        <s v="NATIONAL CHILI 400GM Rs 230"/>
        <s v="NATIONAL BIRYANI Rs 150"/>
        <s v="NATIONAL KARAI Rs 150"/>
        <s v="NATIONAL ACHAR GOSHT 43G Rs 150"/>
        <s v="NATIONAL SHAMI KABAB 50G Rs 150"/>
        <s v="KALI MIRCH POWDER Rs 260"/>
        <s v="NATIONAL SEEKH KB 46GM Rs 140"/>
        <s v="NATIONAL QORMA 86G Rs 290"/>
        <s v="NATIONAL CHICK TIKKA 80GM Rs 290"/>
        <s v="NATIONAL PULAO 70G Rs 150"/>
        <s v="NATIONAL NIHARI 50G Rs 150"/>
        <s v="NATIONAL CHILI 210G Rs 130"/>
        <s v="CHICKEN TIKKA 85G Rs 270"/>
        <s v="CHICKEN TIKKA Rs 150"/>
        <s v="NATIONAL MAITHI Rs 80"/>
        <s v="NATIONAL CHICKEN TIKKA 40GM Rs 150"/>
        <s v="NATIONAL LEHSAN POEDER Rs 150"/>
        <s v="NATIONAL C TIKKA SACHET Rs 80"/>
        <s v="NATIONAL KATCHUP 400GM Rs 230"/>
        <s v="NATIONAL SAVIAN Rs 80"/>
        <s v="SHAN NIHARI MASALA 120GM Rs 270"/>
        <s v="SHAN BIRYANI MASALA 90GM Rs 290"/>
        <s v="SHAN QORMA DOUBLE Rs 290"/>
        <s v="SHAN CHICN TIKKA Rs 270"/>
        <s v="SHAN QORMA 25GM Rs 70"/>
        <s v="SHAN NIHARI 30GM Rs 70"/>
        <s v="SHAN PULAO 23GM Rs 70"/>
        <s v="SHAMI KABAB 25GM Rs 70"/>
        <s v="SHAN TIKKA SACHET Rs 80"/>
        <s v="SHAN SHAMI KABAB 100GM Rs 270"/>
        <s v="SHAN NIHARI 60G Rs 150"/>
        <s v="SHAN CHAT MASALA Rs 100"/>
        <s v="SHJAN DBL KARAHI Rs 270"/>
        <s v="SHAN DBL QORMA Rs 270"/>
        <s v="SHAN BIRYANI MASALA 45GM Rs 150"/>
        <s v="SHAN YAKHNI PILAO 40GM Rs 150"/>
        <s v="SHAN PILAO BIRYANI 40GM Rs 150"/>
        <s v="SHAN SINDHI BIRYANI Rs 140"/>
        <s v="SHAN ACHAR GOSHT 50GM Rs 150"/>
        <s v="SHAN QORMA 50GM Rs 150"/>
        <s v="SHAN PAYA MASALA 50GM Rs 150"/>
        <s v="SHAN NIHARI MASALA 60GM Rs 150"/>
        <s v="SHAN KARAI MASALA 50GM Rs 150"/>
        <s v="SHAN HALEEM MASALA 50GM Rs 150"/>
        <s v="SHAN CHAT MASAL 50GM Rs 120"/>
        <s v="SHAN TANDOORI MASALA Rs 150"/>
        <s v="SHAN CHICKEN TIKKA RS:130 Rs 150"/>
        <s v="SHAN KALI MIRCH Rs 110"/>
        <s v="SHAN LEHSAN POWDER Rs 145"/>
        <s v="NATIONAL KATCHUP 800GM Rs 400"/>
        <s v="NATIONAL SALT BLUE Rs 60"/>
        <s v="DAWAT GARAM MASALA RS 30 Rs 30"/>
        <s v="NATIONAL BIRYANI SACHET Rs 80"/>
        <s v="NATIONAL SALT G Rs 70"/>
        <s v="NATIONAL QORMA SACHET Rs 80"/>
        <s v="NATIONAL KARAI SACHET Rs 80"/>
        <s v="SHANGRILA SOYA 120ML Rs 80"/>
        <s v="SHANGRILA SOYA SAUCE 275 Rs 150"/>
        <s v="SHANGRILA CHILI 120ML Rs 100"/>
        <s v="SHANGRILA CHILI SAUCE 275ML Rs 180"/>
        <s v="SHANGRILA VIVEGAR 120ML Rs 80"/>
        <s v="SHANGRILA VINEGAR 300ML Rs 120"/>
        <s v="SHANGRILA VANEGAR 700ML Rs 220"/>
        <s v="SHANGRILA KATCHUP 225GM Rs 130"/>
        <s v="SHANGRILA MIX ACHAR 150GM Rs 100"/>
        <s v="SHANGRILA TRY 275ML Rs 420"/>
        <s v="SHANGRILA TRY 120ML Rs 250"/>
        <s v="SHANG CHILI G 210G Rs 130"/>
        <s v="SHANGRILA CHILI SAUCE 700ML"/>
        <s v="SHANGRILA SOYA SAUCE 700ML"/>
        <s v="CRUSHED ACHAR 390G Rs 400"/>
        <s v="NOFIA MAXITHIC 18P Rs 450"/>
        <s v="POCHHA PHENYLE Rs 200"/>
        <s v="MOLPAD 16P Rs 550"/>
        <s v="NOFIA MAXITHIC 8P Rs 220"/>
        <s v="PAMPERS S4 Rs 2800"/>
        <s v="PANTENE COND AHF 180ML Rs 450"/>
        <s v="PANTENE AHF 360ML Rs 730"/>
        <s v="NOFIA MAXITHIC 9P Rs 220"/>
        <s v="SAFEGUARD W 125GM Rs 175"/>
        <s v="POWER PLUS LIQ POLISH Rs 190"/>
        <s v="CUSTARD STR 45GM Rs 50"/>
        <s v="CUSTARD MNG 45G Rs 50"/>
        <s v="DOVE HF 175ML Rs 520"/>
        <s v="DOVE IR 360ML Rs 870"/>
        <s v="DOVE COND IR 180ML Rs 540"/>
        <s v="KATCHUP 400GM Rs 250"/>
        <s v="CHILI G 190G"/>
        <s v="CHICKEN POWDER Rs 30"/>
        <s v="DAAL MASOOR 500GM Rs 160"/>
        <s v="HAIR WELL CLR Rs 80"/>
        <s v="VIM DBL LONG BAR Rs 150"/>
        <s v="VIM LONG BAR 230GM Rs 75"/>
        <s v="LBS HERBAL 370ML Rs 670"/>
        <s v="LBS ONION 650ML"/>
        <s v="LBS NS 175ML"/>
        <s v="LBS HERBAL 175ML Rs 370"/>
        <s v="LBS SACHET ONION Rs 10"/>
        <s v="LBS DBL PATTA 9ML Rs 10"/>
        <s v="LB HANDWASH TOT 200ML Rs 280"/>
        <s v="LB CARE 130G Rs 125"/>
        <s v="LB CARE 70G "/>
        <s v="LUX GREEN 100G"/>
        <s v="LUX PINK 170G Rs 180"/>
        <s v="LUX PINK MINI Rs 70"/>
        <s v="SAMSOLE SMALL 45 Rs 150"/>
        <s v="SAMSOLE SMALL 43 Rs 150"/>
        <s v="REETHA COLOR 43 Rs 90"/>
        <s v="LOREAL WHITE 360ML Rs 910"/>
        <s v="LOREAL 6OIL 360ML Rs 910"/>
        <s v="OLIVIA 2 Rs 300"/>
        <s v="OLIVIA-3 Rs 300"/>
        <s v="OLIVIA-4 Rs 300"/>
        <s v="OLIVIA-5 Rs 300"/>
        <s v="OLIVIA-7 Rs 300"/>
        <s v="OLIVIA-10 Rs 300"/>
        <s v="OLIVIA -12 Rs 300"/>
        <s v="SHOE SHINNER Rs 200"/>
        <s v="LUX TRY W Rs 420"/>
        <s v="MOLPAD 9P Rs 280"/>
        <s v="ARIEL 500G Rs 290"/>
        <s v="CAREBABY WIPES Rs 180"/>
        <s v="WIZ PHENYLE Rs 250"/>
        <s v="MOLPED 8P Rs 300"/>
        <s v="MOLPAD 18P Rs 550"/>
        <s v="NOFEA ULTRA 8P Rs 180"/>
        <s v="MOLPED 9P Rs 300"/>
        <s v="LUX W 130G Rs 150"/>
        <s v="LUX W 170G Rs 180"/>
        <s v="LUX PINK 130G Rs 150"/>
        <s v="NOODLE G BUNDLE Rs 190"/>
        <s v="NOODLE CHAT RS:35 Rs 35"/>
        <s v="NOODLE RED RS:50 Rs 50"/>
        <s v="RIN 500GM Rs 200"/>
        <s v="SUNLIGHT 390G Rs 100"/>
        <s v="SUNLIGHT NP 1KG Rs 270"/>
        <s v="SUNLIGHT P RS 10 Rs 10"/>
        <s v="SUNLIGHT P RS :50 Rs 50"/>
        <s v="SS HF 370ML Rs 750"/>
        <s v="SUNSILK COND B Rs 480"/>
        <s v="SUNSILK PUMP TL Rs 1300"/>
        <s v="SUNSILK 185ML B Rs 450"/>
        <s v="RIN 1KG Rs 400"/>
        <s v="POP UP Rs 250"/>
        <s v="POP UP 4*1 Rs 750"/>
        <s v="FAMILIA TISSUE Rs 230"/>
        <s v="TISSUE TULIP Rs 100"/>
        <s v="TISSUE PARTIPACK Rs 275"/>
        <s v="ROBIN 75ML Rs 300"/>
        <s v="DETOLE BAR 115GM Rs 150"/>
        <s v="HOCKY MATCH Rs 45"/>
        <s v="SURF EXCEL 2KG SAVE100 Rs 1100"/>
        <s v="SURF EXCEL 1KG CP 550 Rs 550"/>
        <s v="SURF EXCEL RS 10 Rs 10"/>
        <s v="SURF EXCEL RS 50 Rs 50"/>
        <s v="SUGAR 1KG Rs 160"/>
        <s v="TOOTH PICK Rs 60"/>
        <s v="TOOTH PICK Rs 30"/>
        <s v="BONUS 1KG Rs 230"/>
        <s v="BRITE 1KG Rs 600"/>
        <s v="BRITE 500GM CP Rs 275"/>
        <s v="BRITE RS 50 Rs 50"/>
        <s v="BRITE RS:20 Rs 20"/>
        <s v="COLGATE BRUSH Rs 100"/>
        <s v="COLGATE 200GM Rs 400"/>
        <s v="COLGARE HERB 100G Rs 220"/>
        <s v="SPARKLE 70G Rs 100"/>
        <s v="COLGATE MAX FRESH B 75GM Rs 220"/>
        <s v="COLGATE MAX FRESH R 75GM Rs 220"/>
        <s v="COLGATE MAX FRESH R 125GM Rs 325"/>
        <s v="SPARKLE 200G Rs 250"/>
        <s v="COLGATE PASTE VD BRUSH Rs 190"/>
        <s v="COLGATE GRF 150GM Rs 320"/>
        <s v="SPARKLE 35G Rs 50"/>
        <s v="COLGATE GRF 40GM Rs 70"/>
        <s v="SPARKLE LONG 130G Rs 180"/>
        <s v="COLGATE HERB 55G Rs 100"/>
        <s v="COLGATE H 45G Rs 75"/>
        <s v="EXPRESS 500G Rs 215"/>
        <s v="EXPRESS 1KG Rs 400"/>
        <s v="MAX FOAM SOOBI Rs 70"/>
        <s v="LEMON MAX RS:30 Rs 30"/>
        <s v="LAMON MAX LB Rs 80"/>
        <s v="MAX 290G Rs 90"/>
        <s v="MAX 165G Rs 50"/>
        <s v="MEDICAM 90GM Rs 285"/>
        <s v="MEDICAM 140GM Rs 310"/>
        <s v="DOCTOR LONG 65GM Rs 200"/>
        <s v="MAX PAST G 200G"/>
        <s v="MAX LIQ 170ML"/>
        <s v="PALMOLIVE 130GM Rs 148"/>
        <s v="PALMOLIVE O 130GM Rs 148"/>
        <s v="PALOMOLIVE BLACK 130GM Rs 148"/>
        <s v="PALMOLIVE Y 98GM Rs 118"/>
        <s v="PALMOLIVE GREEN 130GM Rs 148"/>
        <s v="PALMOLIVE TRY PACK"/>
        <s v="PALMOLIVE SHAMPOO P180ML Rs 370"/>
        <s v="BRUSH EZIGRIP MED Rs 80"/>
        <s v="MOSPEL LOSHAN 45ML Rs 290"/>
        <s v="ENGLISH PH POWDER LARGE Rs 320"/>
        <s v="OLPER 500ML Rs 200"/>
        <s v="OLPER 250ML Rs 100"/>
        <s v="TANG ORANGE JUG PACK Rs 100"/>
        <s v="TANG ORANG SACHET Rs 25"/>
        <s v="COCA COLA 350ML Rs 70"/>
        <s v="COCA COLA 2 LTR Rs 240"/>
        <s v="COCA COLA 1.5L Rs 200"/>
        <s v="COCA COLA 1 LTR Rs 160"/>
        <s v="SUPREME 85G CP Rs 180"/>
        <s v="SUPREME 170G CP Rs 360"/>
        <s v="JAME SHEEREN 800ML Rs 550"/>
        <s v="JOHAR JOSHANDA Rs 25"/>
        <s v="VITAL 900GM Rs 1700"/>
        <s v="TAPAL DD 85GM Rs 190"/>
        <s v="TAPAL DD RS 50 Rs 50"/>
        <s v="TAPAL DD Rs 30 Rs 30"/>
        <s v="TAPAL DD RS 99 Rs 99"/>
        <s v="TAPAL DD 350GM Rs 720"/>
        <s v="TAPAL DD 170GM Rs 380"/>
        <s v="TAPAL GREEN TB Rs 250"/>
        <s v="TAPAL 430G 70 OFF CP Rs 900"/>
        <s v="BABY LOTION 60ML"/>
        <s v="BABY OIL"/>
        <s v="CARE LOTION 57ML"/>
        <s v="KESHIA ALMOND OIL 100ML Rs 260"/>
        <s v="SUNSILK ONION 380ML Rs 800" u="1"/>
        <s v="NOODLE CHAT BUNDLE Rs 200" u="1"/>
        <s v="SS HF 185ML Rs 450" u="1"/>
        <s v="CUSTARD VANILA 45GM Rs 50" u="1"/>
        <s v="VIM LONGBAR Rs 70" u="1"/>
        <s v="PALMOLIVE 98GM Rs 118" u="1"/>
        <s v="DOVE IR 175ML Rs 520" u="1"/>
        <s v="VIM DBL BAR Rs 150" u="1"/>
        <s v="SURF EXCEL 750G Rs 400" u="1"/>
        <s v="SHANGRILA TRY 275 ML " u="1"/>
        <s v="SHANGRILLA KATCHUP 400G Rs 230" u="1"/>
        <s v="ACHAR RS:20 Rs 20" u="1"/>
        <s v="SUNSILK 185ML Rs 450" u="1"/>
        <s v="LB RED 130G Rs 125" u="1"/>
        <s v="LBS GREEN 650ML Rs 1150" u="1"/>
        <s v="SURF EXCEL W 1KG Rs 600" u="1"/>
      </sharedItems>
    </cacheField>
    <cacheField name="Weight" numFmtId="164">
      <sharedItems containsSemiMixedTypes="0" containsString="0" containsNumber="1" minValue="0" maxValue="10"/>
    </cacheField>
    <cacheField name="QTY" numFmtId="165">
      <sharedItems containsSemiMixedTypes="0" containsString="0" containsNumber="1" containsInteger="1" minValue="1" maxValue="60"/>
    </cacheField>
    <cacheField name="Purchaise" numFmtId="166">
      <sharedItems containsSemiMixedTypes="0" containsString="0" containsNumber="1" minValue="6" maxValue="2736.14" count="318">
        <n v="115"/>
        <n v="350"/>
        <n v="285"/>
        <n v="180"/>
        <n v="195"/>
        <n v="200"/>
        <n v="390"/>
        <n v="250"/>
        <n v="8"/>
        <n v="40"/>
        <n v="75"/>
        <n v="90"/>
        <n v="122.66"/>
        <n v="108"/>
        <n v="55"/>
        <n v="60"/>
        <n v="168"/>
        <n v="375"/>
        <n v="882"/>
        <n v="93"/>
        <n v="240"/>
        <n v="130"/>
        <n v="210"/>
        <n v="18.5"/>
        <n v="700"/>
        <n v="80"/>
        <n v="50"/>
        <n v="120"/>
        <n v="46.5"/>
        <n v="62"/>
        <n v="144"/>
        <n v="137"/>
        <n v="101"/>
        <n v="90.62"/>
        <n v="73.33"/>
        <n v="175"/>
        <n v="45"/>
        <n v="287.5"/>
        <n v="57"/>
        <n v="202"/>
        <n v="160"/>
        <n v="155"/>
        <n v="100"/>
        <n v="48"/>
        <n v="29.5"/>
        <n v="192.5"/>
        <n v="185"/>
        <n v="7"/>
        <n v="82"/>
        <n v="25"/>
        <n v="65"/>
        <n v="95"/>
        <n v="137.5"/>
        <n v="1000"/>
        <n v="35"/>
        <n v="15"/>
        <n v="284"/>
        <n v="135"/>
        <n v="430"/>
        <n v="31"/>
        <n v="205"/>
        <n v="39"/>
        <n v="18.329999999999998"/>
        <n v="410"/>
        <n v="84"/>
        <n v="300"/>
        <n v="550"/>
        <n v="380"/>
        <n v="215"/>
        <n v="6"/>
        <n v="182"/>
        <n v="11.25"/>
        <n v="23.5"/>
        <n v="13.5"/>
        <n v="43.75"/>
        <n v="230"/>
        <n v="85"/>
        <n v="113.75"/>
        <n v="17.29"/>
        <n v="245"/>
        <n v="490"/>
        <n v="87"/>
        <n v="52.5"/>
        <n v="81"/>
        <n v="330"/>
        <n v="186.58"/>
        <n v="69.67"/>
        <n v="260"/>
        <n v="126.75"/>
        <n v="132.91999999999999"/>
        <n v="70"/>
        <n v="540"/>
        <n v="81.849999999999994"/>
        <n v="109.23"/>
        <n v="243.67"/>
        <n v="689.81"/>
        <n v="460.27"/>
        <n v="43.33"/>
        <n v="28.81"/>
        <n v="31.25"/>
        <n v="400"/>
        <n v="450"/>
        <n v="290"/>
        <n v="149.83000000000001"/>
        <n v="320"/>
        <n v="38"/>
        <n v="18"/>
        <n v="169"/>
        <n v="156"/>
        <n v="157.38"/>
        <n v="116.5"/>
        <n v="164"/>
        <n v="73"/>
        <n v="76"/>
        <n v="63"/>
        <n v="41"/>
        <n v="170"/>
        <n v="570"/>
        <n v="83"/>
        <n v="184.09"/>
        <n v="147.25"/>
        <n v="40.299999999999997"/>
        <n v="270"/>
        <n v="255"/>
        <n v="173"/>
        <n v="125"/>
        <n v="201"/>
        <n v="309"/>
        <n v="650"/>
        <n v="103.62"/>
        <n v="128.80000000000001"/>
        <n v="254.64"/>
        <n v="129.4"/>
        <n v="265.95"/>
        <n v="135.69999999999999"/>
        <n v="61.35"/>
        <n v="111.87"/>
        <n v="203"/>
        <n v="131.1"/>
        <n v="233.7"/>
        <n v="122.35"/>
        <n v="266"/>
        <n v="128.66999999999999"/>
        <n v="101.04"/>
        <n v="239.16"/>
        <n v="70.680000000000007"/>
        <n v="130.78"/>
        <n v="71.972999999999999"/>
        <n v="64.44"/>
        <n v="234.67"/>
        <n v="252"/>
        <n v="239.33"/>
        <n v="59.75"/>
        <n v="51.84"/>
        <n v="58.585000000000001"/>
        <n v="66"/>
        <n v="68.83"/>
        <n v="239.25"/>
        <n v="127.67"/>
        <n v="81.83"/>
        <n v="231.67"/>
        <n v="232"/>
        <n v="118"/>
        <n v="128.5"/>
        <n v="126"/>
        <n v="126.5"/>
        <n v="126.33"/>
        <n v="96.67"/>
        <n v="129"/>
        <n v="353.93"/>
        <n v="48.75"/>
        <n v="71.97"/>
        <n v="68.86"/>
        <n v="68.13"/>
        <n v="133.66"/>
        <n v="73.37"/>
        <n v="141.19999999999999"/>
        <n v="59.3"/>
        <n v="108.54"/>
        <n v="178.7"/>
        <n v="104.52"/>
        <n v="88.77"/>
        <n v="363.31"/>
        <n v="200.5"/>
        <n v="105"/>
        <n v="269"/>
        <n v="258.8"/>
        <n v="347.73"/>
        <n v="363.72"/>
        <n v="140"/>
        <n v="488"/>
        <n v="184.57"/>
        <n v="2736.14"/>
        <n v="420"/>
        <n v="662.38"/>
        <n v="162.5"/>
        <n v="165"/>
        <n v="46"/>
        <n v="401"/>
        <n v="782"/>
        <n v="483"/>
        <n v="222"/>
        <n v="109"/>
        <n v="26.75"/>
        <n v="123"/>
        <n v="362.5"/>
        <n v="61"/>
        <n v="139.19"/>
        <n v="69.599999999999994"/>
        <n v="1029"/>
        <n v="315.81"/>
        <n v="301.5"/>
        <n v="9.14"/>
        <n v="9.1399000000000008"/>
        <n v="115.72"/>
        <n v="116.17"/>
        <n v="163.75"/>
        <n v="124"/>
        <n v="72"/>
        <n v="782.2"/>
        <n v="234"/>
        <n v="225"/>
        <n v="166"/>
        <n v="404"/>
        <n v="242"/>
        <n v="270.83"/>
        <n v="238"/>
        <n v="485"/>
        <n v="121"/>
        <n v="140.5"/>
        <n v="163.63"/>
        <n v="134"/>
        <n v="172"/>
        <n v="32.17"/>
        <n v="46.21"/>
        <n v="174"/>
        <n v="92.87"/>
        <n v="254.12"/>
        <n v="9"/>
        <n v="47"/>
        <n v="639"/>
        <n v="430.5"/>
        <n v="1031.5"/>
        <n v="383.33"/>
        <n v="348.5"/>
        <n v="680"/>
        <n v="188"/>
        <n v="227"/>
        <n v="212.5"/>
        <n v="132.5"/>
        <n v="39.200000000000003"/>
        <n v="939"/>
        <n v="493.83"/>
        <n v="8.9450000000000003"/>
        <n v="43.5"/>
        <n v="142"/>
        <n v="41.66"/>
        <n v="20.833300000000001"/>
        <n v="197.15"/>
        <n v="45.78"/>
        <n v="18.309999999999999"/>
        <n v="70.52"/>
        <n v="359.73"/>
        <n v="199.46"/>
        <n v="89.16"/>
        <n v="198.64"/>
        <n v="200.35"/>
        <n v="293.64"/>
        <n v="224.06"/>
        <n v="171.46"/>
        <n v="283.08999999999997"/>
        <n v="45.5"/>
        <n v="60.95"/>
        <n v="160.43299999999999"/>
        <n v="89.9"/>
        <n v="64.739999999999995"/>
        <n v="196"/>
        <n v="359.58"/>
        <n v="28.22"/>
        <n v="84.3"/>
        <n v="134.1"/>
        <n v="135.61000000000001"/>
        <n v="134.44999999999999"/>
        <n v="134.44"/>
        <n v="110.95"/>
        <n v="127.9"/>
        <n v="308.54000000000002"/>
        <n v="63.8"/>
        <n v="280"/>
        <n v="179.4"/>
        <n v="89.75"/>
        <n v="88.92"/>
        <n v="23.88"/>
        <n v="147"/>
        <n v="166.04300000000001"/>
        <n v="329.07"/>
        <n v="18.059999999999999"/>
        <n v="1574"/>
        <n v="166.5"/>
        <n v="46.17"/>
        <n v="27.72"/>
        <n v="89.2"/>
        <n v="662.33"/>
        <n v="350.67"/>
        <n v="752.5"/>
        <n v="114.83" u="1"/>
        <n v="1033" u="1"/>
        <n v="123.25" u="1"/>
        <n v="465" u="1"/>
        <n v="375.59" u="1"/>
        <n v="535.25" u="1"/>
        <n v="717.5" u="1"/>
        <n v="172.67" u="1"/>
        <n v="17.68" u="1"/>
        <n v="110.85" u="1"/>
        <n v="61.67" u="1"/>
        <n v="181.92" u="1"/>
        <n v="388.5" u="1"/>
      </sharedItems>
    </cacheField>
    <cacheField name="TP" numFmtId="166">
      <sharedItems containsSemiMixedTypes="0" containsString="0" containsNumber="1" minValue="10" maxValue="2800"/>
    </cacheField>
    <cacheField name="Consumer Price" numFmtId="166">
      <sharedItems containsSemiMixedTypes="0" containsString="0" containsNumber="1" containsInteger="1" minValue="0" maxValue="2800"/>
    </cacheField>
    <cacheField name="Purchase _x000a_Value" numFmtId="166">
      <sharedItems containsSemiMixedTypes="0" containsString="0" containsNumber="1" minValue="8" maxValue="14297.5"/>
    </cacheField>
    <cacheField name="Trade_x000a_Value" numFmtId="166">
      <sharedItems containsSemiMixedTypes="0" containsString="0" containsNumber="1" minValue="10" maxValue="15580"/>
    </cacheField>
    <cacheField name="RP VALUE" numFmtId="0">
      <sharedItems containsSemiMixedTypes="0" containsString="0" containsNumber="1" containsInteger="1" minValue="0" maxValue="171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39">
  <r>
    <s v="GROCERY"/>
    <x v="0"/>
    <x v="0"/>
    <x v="0"/>
    <x v="0"/>
    <n v="0.5"/>
    <n v="6"/>
    <x v="0"/>
    <n v="140"/>
    <n v="140"/>
    <n v="690"/>
    <n v="840"/>
    <n v="840"/>
  </r>
  <r>
    <s v="GROCERY"/>
    <x v="0"/>
    <x v="1"/>
    <x v="1"/>
    <x v="1"/>
    <n v="1"/>
    <n v="2"/>
    <x v="1"/>
    <n v="354"/>
    <n v="400"/>
    <n v="700"/>
    <n v="708"/>
    <n v="800"/>
  </r>
  <r>
    <s v="GROCERY"/>
    <x v="0"/>
    <x v="1"/>
    <x v="2"/>
    <x v="2"/>
    <n v="1"/>
    <n v="2"/>
    <x v="2"/>
    <n v="205"/>
    <n v="260"/>
    <n v="570"/>
    <n v="410"/>
    <n v="520"/>
  </r>
  <r>
    <s v="GROCERY"/>
    <x v="0"/>
    <x v="1"/>
    <x v="3"/>
    <x v="3"/>
    <n v="1"/>
    <n v="1"/>
    <x v="3"/>
    <n v="194"/>
    <n v="240"/>
    <n v="180"/>
    <n v="194"/>
    <n v="240"/>
  </r>
  <r>
    <s v="GROCERY"/>
    <x v="0"/>
    <x v="1"/>
    <x v="4"/>
    <x v="4"/>
    <n v="1"/>
    <n v="1"/>
    <x v="4"/>
    <n v="208"/>
    <n v="210"/>
    <n v="195"/>
    <n v="208"/>
    <n v="210"/>
  </r>
  <r>
    <s v="GROCERY"/>
    <x v="0"/>
    <x v="1"/>
    <x v="5"/>
    <x v="5"/>
    <n v="1"/>
    <n v="1"/>
    <x v="5"/>
    <n v="218"/>
    <n v="240"/>
    <n v="200"/>
    <n v="218"/>
    <n v="240"/>
  </r>
  <r>
    <s v="GROCERY"/>
    <x v="0"/>
    <x v="1"/>
    <x v="6"/>
    <x v="6"/>
    <n v="0"/>
    <n v="1"/>
    <x v="6"/>
    <n v="383"/>
    <n v="470"/>
    <n v="390"/>
    <n v="383"/>
    <n v="470"/>
  </r>
  <r>
    <s v="GROCERY"/>
    <x v="0"/>
    <x v="1"/>
    <x v="7"/>
    <x v="7"/>
    <n v="1"/>
    <n v="2"/>
    <x v="7"/>
    <n v="320"/>
    <n v="300"/>
    <n v="500"/>
    <n v="640"/>
    <n v="600"/>
  </r>
  <r>
    <s v="GROCERY"/>
    <x v="0"/>
    <x v="1"/>
    <x v="8"/>
    <x v="8"/>
    <n v="1"/>
    <n v="2"/>
    <x v="3"/>
    <n v="150"/>
    <n v="150"/>
    <n v="360"/>
    <n v="300"/>
    <n v="300"/>
  </r>
  <r>
    <s v="GROCERY"/>
    <x v="0"/>
    <x v="2"/>
    <x v="9"/>
    <x v="9"/>
    <n v="0"/>
    <n v="1"/>
    <x v="8"/>
    <n v="10"/>
    <n v="10"/>
    <n v="8"/>
    <n v="10"/>
    <n v="10"/>
  </r>
  <r>
    <s v="GROCERY"/>
    <x v="0"/>
    <x v="3"/>
    <x v="10"/>
    <x v="10"/>
    <n v="0.1"/>
    <n v="1"/>
    <x v="9"/>
    <n v="50"/>
    <n v="60"/>
    <n v="40"/>
    <n v="50"/>
    <n v="60"/>
  </r>
  <r>
    <s v="GROCERY"/>
    <x v="0"/>
    <x v="3"/>
    <x v="11"/>
    <x v="11"/>
    <n v="0.1"/>
    <n v="1"/>
    <x v="10"/>
    <n v="100"/>
    <n v="100"/>
    <n v="75"/>
    <n v="100"/>
    <n v="100"/>
  </r>
  <r>
    <s v="GROCERY"/>
    <x v="0"/>
    <x v="4"/>
    <x v="12"/>
    <x v="12"/>
    <n v="0"/>
    <n v="1"/>
    <x v="11"/>
    <n v="120"/>
    <n v="120"/>
    <n v="90"/>
    <n v="120"/>
    <n v="120"/>
  </r>
  <r>
    <s v="GROCERY"/>
    <x v="0"/>
    <x v="4"/>
    <x v="13"/>
    <x v="13"/>
    <n v="0"/>
    <n v="6"/>
    <x v="12"/>
    <n v="150"/>
    <n v="150"/>
    <n v="735.96"/>
    <n v="900"/>
    <n v="900"/>
  </r>
  <r>
    <s v="GROCERY"/>
    <x v="0"/>
    <x v="5"/>
    <x v="14"/>
    <x v="14"/>
    <n v="0.25"/>
    <n v="5"/>
    <x v="13"/>
    <n v="120"/>
    <n v="120"/>
    <n v="540"/>
    <n v="600"/>
    <n v="600"/>
  </r>
  <r>
    <s v="GROCERY"/>
    <x v="0"/>
    <x v="5"/>
    <x v="15"/>
    <x v="15"/>
    <n v="0.25"/>
    <n v="11"/>
    <x v="14"/>
    <n v="70"/>
    <n v="95"/>
    <n v="605"/>
    <n v="770"/>
    <n v="1045"/>
  </r>
  <r>
    <s v="GROCERY"/>
    <x v="0"/>
    <x v="5"/>
    <x v="16"/>
    <x v="16"/>
    <n v="0.25"/>
    <n v="11"/>
    <x v="15"/>
    <n v="60"/>
    <n v="70"/>
    <n v="660"/>
    <n v="660"/>
    <n v="770"/>
  </r>
  <r>
    <s v="GROCERY"/>
    <x v="0"/>
    <x v="5"/>
    <x v="17"/>
    <x v="17"/>
    <n v="0.17499999999999999"/>
    <n v="2"/>
    <x v="16"/>
    <n v="190"/>
    <n v="190"/>
    <n v="336"/>
    <n v="380"/>
    <n v="380"/>
  </r>
  <r>
    <s v="GROCERY"/>
    <x v="0"/>
    <x v="1"/>
    <x v="18"/>
    <x v="18"/>
    <n v="0"/>
    <n v="1"/>
    <x v="17"/>
    <n v="400"/>
    <n v="400"/>
    <n v="375"/>
    <n v="400"/>
    <n v="400"/>
  </r>
  <r>
    <s v="GROCERY"/>
    <x v="0"/>
    <x v="6"/>
    <x v="19"/>
    <x v="19"/>
    <n v="0"/>
    <n v="1"/>
    <x v="18"/>
    <n v="1000"/>
    <n v="1000"/>
    <n v="882"/>
    <n v="1000"/>
    <n v="1000"/>
  </r>
  <r>
    <s v="GROCERY"/>
    <x v="0"/>
    <x v="5"/>
    <x v="20"/>
    <x v="20"/>
    <n v="0.5"/>
    <n v="2"/>
    <x v="19"/>
    <n v="120"/>
    <n v="120"/>
    <n v="186"/>
    <n v="240"/>
    <n v="240"/>
  </r>
  <r>
    <s v="GROCERY"/>
    <x v="0"/>
    <x v="5"/>
    <x v="21"/>
    <x v="21"/>
    <n v="1"/>
    <n v="25"/>
    <x v="20"/>
    <n v="240"/>
    <n v="280"/>
    <n v="6000"/>
    <n v="6000"/>
    <n v="7000"/>
  </r>
  <r>
    <s v="GROCERY"/>
    <x v="0"/>
    <x v="5"/>
    <x v="22"/>
    <x v="22"/>
    <n v="0.25"/>
    <n v="3"/>
    <x v="5"/>
    <n v="250"/>
    <n v="250"/>
    <n v="600"/>
    <n v="750"/>
    <n v="750"/>
  </r>
  <r>
    <s v="GROCERY"/>
    <x v="0"/>
    <x v="4"/>
    <x v="23"/>
    <x v="23"/>
    <n v="0.05"/>
    <n v="2"/>
    <x v="21"/>
    <n v="180"/>
    <n v="180"/>
    <n v="260"/>
    <n v="360"/>
    <n v="360"/>
  </r>
  <r>
    <s v="ORAL CARE"/>
    <x v="0"/>
    <x v="7"/>
    <x v="24"/>
    <x v="24"/>
    <n v="0"/>
    <n v="3"/>
    <x v="22"/>
    <n v="240"/>
    <n v="250"/>
    <n v="630"/>
    <n v="720"/>
    <n v="750"/>
  </r>
  <r>
    <s v="GROCERY"/>
    <x v="0"/>
    <x v="8"/>
    <x v="25"/>
    <x v="25"/>
    <n v="0"/>
    <n v="1"/>
    <x v="23"/>
    <n v="30"/>
    <n v="30"/>
    <n v="18.5"/>
    <n v="30"/>
    <n v="30"/>
  </r>
  <r>
    <s v="GROCERY"/>
    <x v="0"/>
    <x v="0"/>
    <x v="26"/>
    <x v="26"/>
    <n v="1"/>
    <n v="3"/>
    <x v="24"/>
    <n v="760"/>
    <n v="800"/>
    <n v="2100"/>
    <n v="2280"/>
    <n v="2400"/>
  </r>
  <r>
    <s v="GROCERY"/>
    <x v="0"/>
    <x v="3"/>
    <x v="27"/>
    <x v="27"/>
    <n v="0.08"/>
    <n v="4"/>
    <x v="25"/>
    <n v="100"/>
    <n v="100"/>
    <n v="320"/>
    <n v="400"/>
    <n v="400"/>
  </r>
  <r>
    <s v="GROCERY"/>
    <x v="0"/>
    <x v="3"/>
    <x v="28"/>
    <x v="28"/>
    <n v="0.05"/>
    <n v="4"/>
    <x v="9"/>
    <n v="50"/>
    <n v="50"/>
    <n v="160"/>
    <n v="200"/>
    <n v="200"/>
  </r>
  <r>
    <s v="GROCERY"/>
    <x v="0"/>
    <x v="3"/>
    <x v="29"/>
    <x v="29"/>
    <n v="0.05"/>
    <n v="6"/>
    <x v="26"/>
    <n v="60"/>
    <n v="60"/>
    <n v="300"/>
    <n v="360"/>
    <n v="360"/>
  </r>
  <r>
    <s v="GROCERY"/>
    <x v="0"/>
    <x v="9"/>
    <x v="30"/>
    <x v="30"/>
    <n v="0"/>
    <n v="2"/>
    <x v="27"/>
    <n v="140"/>
    <n v="150"/>
    <n v="240"/>
    <n v="280"/>
    <n v="300"/>
  </r>
  <r>
    <s v="GROCERY"/>
    <x v="0"/>
    <x v="5"/>
    <x v="31"/>
    <x v="31"/>
    <n v="0.05"/>
    <n v="1"/>
    <x v="26"/>
    <n v="60"/>
    <n v="70"/>
    <n v="50"/>
    <n v="60"/>
    <n v="70"/>
  </r>
  <r>
    <s v="GROCERY"/>
    <x v="0"/>
    <x v="5"/>
    <x v="32"/>
    <x v="32"/>
    <n v="0.25"/>
    <n v="2"/>
    <x v="28"/>
    <n v="60"/>
    <n v="60"/>
    <n v="93"/>
    <n v="120"/>
    <n v="120"/>
  </r>
  <r>
    <s v="GROCERY"/>
    <x v="0"/>
    <x v="5"/>
    <x v="33"/>
    <x v="33"/>
    <n v="0.5"/>
    <n v="7"/>
    <x v="27"/>
    <n v="120"/>
    <n v="140"/>
    <n v="840"/>
    <n v="840"/>
    <n v="980"/>
  </r>
  <r>
    <s v="GROCERY"/>
    <x v="0"/>
    <x v="5"/>
    <x v="34"/>
    <x v="34"/>
    <n v="0.25"/>
    <n v="7"/>
    <x v="29"/>
    <n v="60"/>
    <n v="80"/>
    <n v="434"/>
    <n v="420"/>
    <n v="560"/>
  </r>
  <r>
    <s v="GROCERY"/>
    <x v="0"/>
    <x v="0"/>
    <x v="35"/>
    <x v="35"/>
    <n v="1"/>
    <n v="4"/>
    <x v="25"/>
    <n v="100"/>
    <n v="120"/>
    <n v="320"/>
    <n v="400"/>
    <n v="480"/>
  </r>
  <r>
    <s v="GROCERY"/>
    <x v="0"/>
    <x v="0"/>
    <x v="36"/>
    <x v="36"/>
    <n v="0.5"/>
    <n v="3"/>
    <x v="30"/>
    <n v="170"/>
    <n v="180"/>
    <n v="432"/>
    <n v="510"/>
    <n v="540"/>
  </r>
  <r>
    <s v="GROCERY"/>
    <x v="0"/>
    <x v="3"/>
    <x v="37"/>
    <x v="37"/>
    <n v="0.25"/>
    <n v="9"/>
    <x v="14"/>
    <n v="60"/>
    <n v="60"/>
    <n v="495"/>
    <n v="540"/>
    <n v="540"/>
  </r>
  <r>
    <s v="GROCERY"/>
    <x v="0"/>
    <x v="4"/>
    <x v="38"/>
    <x v="38"/>
    <n v="0"/>
    <n v="2"/>
    <x v="31"/>
    <n v="180"/>
    <n v="180"/>
    <n v="274"/>
    <n v="360"/>
    <n v="360"/>
  </r>
  <r>
    <s v="GROCERY"/>
    <x v="0"/>
    <x v="4"/>
    <x v="39"/>
    <x v="39"/>
    <n v="0"/>
    <n v="6"/>
    <x v="12"/>
    <n v="150"/>
    <n v="150"/>
    <n v="735.96"/>
    <n v="900"/>
    <n v="900"/>
  </r>
  <r>
    <s v="GROCERY"/>
    <x v="0"/>
    <x v="5"/>
    <x v="40"/>
    <x v="40"/>
    <n v="0.5"/>
    <n v="6"/>
    <x v="32"/>
    <n v="140"/>
    <n v="190"/>
    <n v="606"/>
    <n v="840"/>
    <n v="1140"/>
  </r>
  <r>
    <s v="GROCERY"/>
    <x v="0"/>
    <x v="5"/>
    <x v="41"/>
    <x v="41"/>
    <n v="0.25"/>
    <n v="13"/>
    <x v="33"/>
    <n v="100"/>
    <n v="100"/>
    <n v="1178.06"/>
    <n v="1300"/>
    <n v="1300"/>
  </r>
  <r>
    <s v="GROCERY"/>
    <x v="0"/>
    <x v="1"/>
    <x v="42"/>
    <x v="42"/>
    <n v="0"/>
    <n v="4"/>
    <x v="34"/>
    <n v="100"/>
    <n v="100"/>
    <n v="293.32"/>
    <n v="400"/>
    <n v="400"/>
  </r>
  <r>
    <s v="GROCERY"/>
    <x v="0"/>
    <x v="0"/>
    <x v="43"/>
    <x v="43"/>
    <n v="0.5"/>
    <n v="5"/>
    <x v="35"/>
    <n v="190"/>
    <n v="190"/>
    <n v="875"/>
    <n v="950"/>
    <n v="950"/>
  </r>
  <r>
    <s v="GROCERY"/>
    <x v="0"/>
    <x v="5"/>
    <x v="44"/>
    <x v="44"/>
    <n v="0.1"/>
    <n v="6"/>
    <x v="10"/>
    <n v="100"/>
    <n v="120"/>
    <n v="450"/>
    <n v="600"/>
    <n v="720"/>
  </r>
  <r>
    <s v="GROCERY"/>
    <x v="0"/>
    <x v="3"/>
    <x v="45"/>
    <x v="45"/>
    <n v="0.02"/>
    <n v="7"/>
    <x v="36"/>
    <n v="50"/>
    <n v="50"/>
    <n v="315"/>
    <n v="350"/>
    <n v="350"/>
  </r>
  <r>
    <s v="GROCERY"/>
    <x v="0"/>
    <x v="3"/>
    <x v="46"/>
    <x v="46"/>
    <n v="0.05"/>
    <n v="1"/>
    <x v="9"/>
    <n v="50"/>
    <n v="50"/>
    <n v="40"/>
    <n v="50"/>
    <n v="50"/>
  </r>
  <r>
    <s v="GROCERY"/>
    <x v="0"/>
    <x v="3"/>
    <x v="47"/>
    <x v="47"/>
    <n v="0.05"/>
    <n v="5"/>
    <x v="9"/>
    <n v="50"/>
    <n v="50"/>
    <n v="200"/>
    <n v="250"/>
    <n v="250"/>
  </r>
  <r>
    <s v="GROCERY"/>
    <x v="0"/>
    <x v="0"/>
    <x v="48"/>
    <x v="48"/>
    <n v="1"/>
    <n v="45"/>
    <x v="37"/>
    <n v="340"/>
    <n v="360"/>
    <n v="12937.5"/>
    <n v="15300"/>
    <n v="16200"/>
  </r>
  <r>
    <s v="GROCERY"/>
    <x v="0"/>
    <x v="3"/>
    <x v="49"/>
    <x v="49"/>
    <n v="0.05"/>
    <n v="8"/>
    <x v="9"/>
    <n v="50"/>
    <n v="50"/>
    <n v="320"/>
    <n v="400"/>
    <n v="400"/>
  </r>
  <r>
    <s v="GROCERY"/>
    <x v="0"/>
    <x v="3"/>
    <x v="50"/>
    <x v="50"/>
    <n v="0.01"/>
    <n v="11"/>
    <x v="10"/>
    <n v="100"/>
    <n v="100"/>
    <n v="825"/>
    <n v="1100"/>
    <n v="1100"/>
  </r>
  <r>
    <s v="GROCERY"/>
    <x v="0"/>
    <x v="3"/>
    <x v="51"/>
    <x v="51"/>
    <n v="0.02"/>
    <n v="12"/>
    <x v="25"/>
    <n v="100"/>
    <n v="100"/>
    <n v="960"/>
    <n v="1200"/>
    <n v="1200"/>
  </r>
  <r>
    <s v="GROCERY"/>
    <x v="0"/>
    <x v="4"/>
    <x v="52"/>
    <x v="52"/>
    <n v="0"/>
    <n v="5"/>
    <x v="38"/>
    <n v="80"/>
    <n v="100"/>
    <n v="285"/>
    <n v="400"/>
    <n v="500"/>
  </r>
  <r>
    <s v="GROCERY"/>
    <x v="0"/>
    <x v="1"/>
    <x v="53"/>
    <x v="53"/>
    <n v="1"/>
    <n v="1"/>
    <x v="39"/>
    <n v="280"/>
    <n v="380"/>
    <n v="202"/>
    <n v="280"/>
    <n v="380"/>
  </r>
  <r>
    <s v="GROCERY"/>
    <x v="0"/>
    <x v="0"/>
    <x v="54"/>
    <x v="54"/>
    <n v="1"/>
    <n v="18"/>
    <x v="40"/>
    <n v="200"/>
    <n v="240"/>
    <n v="2880"/>
    <n v="3600"/>
    <n v="4320"/>
  </r>
  <r>
    <s v="GROCERY"/>
    <x v="0"/>
    <x v="3"/>
    <x v="55"/>
    <x v="55"/>
    <n v="0.1"/>
    <n v="2"/>
    <x v="41"/>
    <n v="200"/>
    <n v="200"/>
    <n v="310"/>
    <n v="400"/>
    <n v="400"/>
  </r>
  <r>
    <s v="GROCERY"/>
    <x v="0"/>
    <x v="10"/>
    <x v="56"/>
    <x v="56"/>
    <n v="0.5"/>
    <n v="1"/>
    <x v="42"/>
    <n v="120"/>
    <n v="125"/>
    <n v="100"/>
    <n v="120"/>
    <n v="125"/>
  </r>
  <r>
    <s v="GROCERY"/>
    <x v="0"/>
    <x v="10"/>
    <x v="57"/>
    <x v="57"/>
    <n v="0.5"/>
    <n v="1"/>
    <x v="10"/>
    <n v="80"/>
    <n v="100"/>
    <n v="75"/>
    <n v="80"/>
    <n v="100"/>
  </r>
  <r>
    <s v="GROCERY"/>
    <x v="0"/>
    <x v="11"/>
    <x v="58"/>
    <x v="58"/>
    <n v="0"/>
    <n v="9"/>
    <x v="43"/>
    <n v="60"/>
    <n v="60"/>
    <n v="432"/>
    <n v="540"/>
    <n v="540"/>
  </r>
  <r>
    <s v="GROCERY"/>
    <x v="0"/>
    <x v="4"/>
    <x v="59"/>
    <x v="59"/>
    <n v="0"/>
    <n v="35"/>
    <x v="44"/>
    <n v="40"/>
    <n v="40"/>
    <n v="1032.5"/>
    <n v="1400"/>
    <n v="1400"/>
  </r>
  <r>
    <s v="GROCERY"/>
    <x v="0"/>
    <x v="5"/>
    <x v="60"/>
    <x v="60"/>
    <n v="1"/>
    <n v="6"/>
    <x v="45"/>
    <n v="240"/>
    <n v="320"/>
    <n v="1155"/>
    <n v="1440"/>
    <n v="1920"/>
  </r>
  <r>
    <s v="GROCERY"/>
    <x v="0"/>
    <x v="5"/>
    <x v="61"/>
    <x v="61"/>
    <n v="1"/>
    <n v="11"/>
    <x v="46"/>
    <n v="240"/>
    <n v="240"/>
    <n v="2035"/>
    <n v="2640"/>
    <n v="2640"/>
  </r>
  <r>
    <s v="GROCERY"/>
    <x v="0"/>
    <x v="12"/>
    <x v="62"/>
    <x v="62"/>
    <n v="0"/>
    <n v="11"/>
    <x v="47"/>
    <n v="10"/>
    <n v="0"/>
    <n v="77"/>
    <n v="110"/>
    <n v="0"/>
  </r>
  <r>
    <s v="GROCERY"/>
    <x v="0"/>
    <x v="3"/>
    <x v="63"/>
    <x v="63"/>
    <n v="0.5"/>
    <n v="10"/>
    <x v="48"/>
    <n v="80"/>
    <n v="80"/>
    <n v="820"/>
    <n v="800"/>
    <n v="800"/>
  </r>
  <r>
    <s v="GROCERY"/>
    <x v="0"/>
    <x v="3"/>
    <x v="64"/>
    <x v="64"/>
    <n v="0.05"/>
    <n v="8"/>
    <x v="49"/>
    <n v="50"/>
    <n v="50"/>
    <n v="200"/>
    <n v="400"/>
    <n v="400"/>
  </r>
  <r>
    <s v="GROCERY"/>
    <x v="0"/>
    <x v="3"/>
    <x v="65"/>
    <x v="65"/>
    <n v="0.2"/>
    <n v="3"/>
    <x v="3"/>
    <n v="200"/>
    <n v="200"/>
    <n v="540"/>
    <n v="600"/>
    <n v="600"/>
  </r>
  <r>
    <s v="GROCERY"/>
    <x v="0"/>
    <x v="3"/>
    <x v="66"/>
    <x v="66"/>
    <n v="0.05"/>
    <n v="4"/>
    <x v="9"/>
    <n v="50"/>
    <n v="50"/>
    <n v="160"/>
    <n v="200"/>
    <n v="200"/>
  </r>
  <r>
    <s v="GROCERY"/>
    <x v="0"/>
    <x v="4"/>
    <x v="67"/>
    <x v="67"/>
    <n v="0.6"/>
    <n v="7"/>
    <x v="42"/>
    <n v="130"/>
    <n v="130"/>
    <n v="700"/>
    <n v="910"/>
    <n v="910"/>
  </r>
  <r>
    <s v="GROCERY"/>
    <x v="0"/>
    <x v="8"/>
    <x v="68"/>
    <x v="68"/>
    <n v="0"/>
    <n v="12"/>
    <x v="10"/>
    <n v="100"/>
    <n v="110"/>
    <n v="900"/>
    <n v="1200"/>
    <n v="1320"/>
  </r>
  <r>
    <s v="GROCERY"/>
    <x v="0"/>
    <x v="3"/>
    <x v="69"/>
    <x v="69"/>
    <n v="0.02"/>
    <n v="28"/>
    <x v="15"/>
    <n v="90"/>
    <n v="90"/>
    <n v="1680"/>
    <n v="2520"/>
    <n v="2520"/>
  </r>
  <r>
    <s v="GROCERY"/>
    <x v="0"/>
    <x v="3"/>
    <x v="70"/>
    <x v="70"/>
    <n v="1.2E-2"/>
    <n v="19"/>
    <x v="50"/>
    <n v="80"/>
    <n v="100"/>
    <n v="1235"/>
    <n v="1520"/>
    <n v="1900"/>
  </r>
  <r>
    <s v="GROCERY"/>
    <x v="0"/>
    <x v="3"/>
    <x v="71"/>
    <x v="71"/>
    <n v="0.5"/>
    <n v="17"/>
    <x v="51"/>
    <n v="100"/>
    <n v="100"/>
    <n v="1615"/>
    <n v="1700"/>
    <n v="1700"/>
  </r>
  <r>
    <s v="GROCERY"/>
    <x v="0"/>
    <x v="3"/>
    <x v="72"/>
    <x v="72"/>
    <n v="0.05"/>
    <n v="17"/>
    <x v="9"/>
    <n v="50"/>
    <n v="50"/>
    <n v="680"/>
    <n v="850"/>
    <n v="850"/>
  </r>
  <r>
    <s v="GROCERY"/>
    <x v="0"/>
    <x v="3"/>
    <x v="73"/>
    <x v="73"/>
    <n v="0.25"/>
    <n v="13"/>
    <x v="52"/>
    <n v="200"/>
    <n v="200"/>
    <n v="1787.5"/>
    <n v="2600"/>
    <n v="2600"/>
  </r>
  <r>
    <s v="GROCERY"/>
    <x v="0"/>
    <x v="5"/>
    <x v="74"/>
    <x v="74"/>
    <n v="0.05"/>
    <n v="12"/>
    <x v="25"/>
    <n v="100"/>
    <n v="120"/>
    <n v="960"/>
    <n v="1200"/>
    <n v="1440"/>
  </r>
  <r>
    <s v="GROCERY"/>
    <x v="0"/>
    <x v="13"/>
    <x v="75"/>
    <x v="75"/>
    <n v="10"/>
    <n v="4"/>
    <x v="53"/>
    <n v="1020"/>
    <n v="1100"/>
    <n v="4000"/>
    <n v="4080"/>
    <n v="4400"/>
  </r>
  <r>
    <s v="GROCERY"/>
    <x v="0"/>
    <x v="3"/>
    <x v="76"/>
    <x v="76"/>
    <n v="0.1"/>
    <n v="6"/>
    <x v="9"/>
    <n v="50"/>
    <n v="50"/>
    <n v="240"/>
    <n v="300"/>
    <n v="300"/>
  </r>
  <r>
    <s v="GROCERY"/>
    <x v="0"/>
    <x v="3"/>
    <x v="77"/>
    <x v="77"/>
    <n v="0.05"/>
    <n v="13"/>
    <x v="27"/>
    <n v="150"/>
    <n v="150"/>
    <n v="1560"/>
    <n v="1950"/>
    <n v="1950"/>
  </r>
  <r>
    <s v="GROCERY"/>
    <x v="0"/>
    <x v="3"/>
    <x v="78"/>
    <x v="78"/>
    <n v="0.05"/>
    <n v="13"/>
    <x v="54"/>
    <n v="50"/>
    <n v="50"/>
    <n v="455"/>
    <n v="650"/>
    <n v="650"/>
  </r>
  <r>
    <s v="GROCERY"/>
    <x v="0"/>
    <x v="3"/>
    <x v="79"/>
    <x v="79"/>
    <n v="0.05"/>
    <n v="4"/>
    <x v="36"/>
    <n v="50"/>
    <n v="50"/>
    <n v="180"/>
    <n v="200"/>
    <n v="200"/>
  </r>
  <r>
    <s v="GROCERY"/>
    <x v="0"/>
    <x v="3"/>
    <x v="80"/>
    <x v="80"/>
    <n v="0.05"/>
    <n v="13"/>
    <x v="55"/>
    <n v="20"/>
    <n v="20"/>
    <n v="195"/>
    <n v="260"/>
    <n v="260"/>
  </r>
  <r>
    <s v="GROCERY"/>
    <x v="0"/>
    <x v="10"/>
    <x v="81"/>
    <x v="81"/>
    <n v="2"/>
    <n v="5"/>
    <x v="56"/>
    <n v="300"/>
    <n v="320"/>
    <n v="1420"/>
    <n v="1500"/>
    <n v="1600"/>
  </r>
  <r>
    <s v="GROCERY"/>
    <x v="0"/>
    <x v="4"/>
    <x v="82"/>
    <x v="82"/>
    <n v="0"/>
    <n v="20"/>
    <x v="57"/>
    <n v="160"/>
    <n v="160"/>
    <n v="2700"/>
    <n v="3200"/>
    <n v="3200"/>
  </r>
  <r>
    <s v="GROCERY"/>
    <x v="0"/>
    <x v="5"/>
    <x v="83"/>
    <x v="83"/>
    <n v="1"/>
    <n v="16"/>
    <x v="58"/>
    <n v="480"/>
    <n v="480"/>
    <n v="6880"/>
    <n v="7680"/>
    <n v="7680"/>
  </r>
  <r>
    <s v="GROCERY"/>
    <x v="0"/>
    <x v="3"/>
    <x v="84"/>
    <x v="84"/>
    <n v="0.05"/>
    <n v="4"/>
    <x v="11"/>
    <n v="100"/>
    <n v="100"/>
    <n v="360"/>
    <n v="400"/>
    <n v="400"/>
  </r>
  <r>
    <s v="GROCERY"/>
    <x v="0"/>
    <x v="3"/>
    <x v="85"/>
    <x v="85"/>
    <n v="0.05"/>
    <n v="23"/>
    <x v="55"/>
    <n v="20"/>
    <n v="20"/>
    <n v="345"/>
    <n v="460"/>
    <n v="460"/>
  </r>
  <r>
    <s v="GROCERY"/>
    <x v="0"/>
    <x v="3"/>
    <x v="86"/>
    <x v="86"/>
    <n v="0.02"/>
    <n v="32"/>
    <x v="54"/>
    <n v="40"/>
    <n v="40"/>
    <n v="1120"/>
    <n v="1280"/>
    <n v="1280"/>
  </r>
  <r>
    <s v="GROCERY"/>
    <x v="0"/>
    <x v="3"/>
    <x v="87"/>
    <x v="87"/>
    <n v="0.1"/>
    <n v="2"/>
    <x v="14"/>
    <n v="100"/>
    <n v="100"/>
    <n v="110"/>
    <n v="200"/>
    <n v="200"/>
  </r>
  <r>
    <s v="GROCERY"/>
    <x v="0"/>
    <x v="5"/>
    <x v="88"/>
    <x v="88"/>
    <n v="0.1"/>
    <n v="4"/>
    <x v="59"/>
    <n v="50"/>
    <n v="50"/>
    <n v="124"/>
    <n v="200"/>
    <n v="200"/>
  </r>
  <r>
    <s v="GROCERY"/>
    <x v="0"/>
    <x v="0"/>
    <x v="89"/>
    <x v="89"/>
    <n v="2"/>
    <n v="9"/>
    <x v="1"/>
    <n v="380"/>
    <n v="400"/>
    <n v="3150"/>
    <n v="3420"/>
    <n v="3600"/>
  </r>
  <r>
    <s v="GROCERY"/>
    <x v="0"/>
    <x v="3"/>
    <x v="90"/>
    <x v="90"/>
    <n v="0.1"/>
    <n v="10"/>
    <x v="25"/>
    <n v="100"/>
    <n v="100"/>
    <n v="800"/>
    <n v="1000"/>
    <n v="1000"/>
  </r>
  <r>
    <s v="GROCERY"/>
    <x v="0"/>
    <x v="3"/>
    <x v="91"/>
    <x v="91"/>
    <n v="1"/>
    <n v="26"/>
    <x v="42"/>
    <n v="150"/>
    <n v="160"/>
    <n v="2600"/>
    <n v="3900"/>
    <n v="4160"/>
  </r>
  <r>
    <s v="GROCERY"/>
    <x v="0"/>
    <x v="3"/>
    <x v="92"/>
    <x v="92"/>
    <n v="0.02"/>
    <n v="40"/>
    <x v="36"/>
    <n v="50"/>
    <n v="50"/>
    <n v="1800"/>
    <n v="2000"/>
    <n v="2000"/>
  </r>
  <r>
    <s v="GROCERY"/>
    <x v="0"/>
    <x v="0"/>
    <x v="93"/>
    <x v="93"/>
    <n v="1"/>
    <n v="34"/>
    <x v="60"/>
    <n v="260"/>
    <n v="280"/>
    <n v="6970"/>
    <n v="8840"/>
    <n v="9520"/>
  </r>
  <r>
    <s v="GROCERY"/>
    <x v="0"/>
    <x v="3"/>
    <x v="94"/>
    <x v="94"/>
    <n v="0.01"/>
    <n v="48"/>
    <x v="14"/>
    <n v="60"/>
    <n v="60"/>
    <n v="2640"/>
    <n v="2880"/>
    <n v="2880"/>
  </r>
  <r>
    <s v="GROCERY"/>
    <x v="0"/>
    <x v="12"/>
    <x v="95"/>
    <x v="95"/>
    <n v="0"/>
    <n v="36"/>
    <x v="61"/>
    <n v="50"/>
    <n v="50"/>
    <n v="1404"/>
    <n v="1800"/>
    <n v="1800"/>
  </r>
  <r>
    <s v="GROCERY"/>
    <x v="0"/>
    <x v="4"/>
    <x v="96"/>
    <x v="96"/>
    <n v="0"/>
    <n v="26"/>
    <x v="29"/>
    <n v="80"/>
    <n v="80"/>
    <n v="1612"/>
    <n v="2080"/>
    <n v="2080"/>
  </r>
  <r>
    <s v="GROCERY"/>
    <x v="0"/>
    <x v="1"/>
    <x v="97"/>
    <x v="97"/>
    <n v="0"/>
    <n v="60"/>
    <x v="62"/>
    <n v="19.329999999999998"/>
    <n v="20"/>
    <n v="1099.8"/>
    <n v="1159.8"/>
    <n v="1200"/>
  </r>
  <r>
    <s v="ACID"/>
    <x v="1"/>
    <x v="14"/>
    <x v="98"/>
    <x v="98"/>
    <n v="0.22500000000000001"/>
    <n v="2"/>
    <x v="3"/>
    <n v="200"/>
    <n v="200"/>
    <n v="360"/>
    <n v="400"/>
    <n v="400"/>
  </r>
  <r>
    <s v="ACID"/>
    <x v="1"/>
    <x v="14"/>
    <x v="99"/>
    <x v="99"/>
    <n v="0.45"/>
    <n v="2"/>
    <x v="63"/>
    <n v="470"/>
    <n v="475"/>
    <n v="820"/>
    <n v="940"/>
    <n v="950"/>
  </r>
  <r>
    <s v="ACID"/>
    <x v="2"/>
    <x v="15"/>
    <x v="100"/>
    <x v="100"/>
    <n v="0"/>
    <n v="8"/>
    <x v="26"/>
    <n v="60"/>
    <n v="60"/>
    <n v="400"/>
    <n v="480"/>
    <n v="480"/>
  </r>
  <r>
    <s v="ACID"/>
    <x v="2"/>
    <x v="16"/>
    <x v="101"/>
    <x v="101"/>
    <n v="0"/>
    <n v="4"/>
    <x v="64"/>
    <n v="100"/>
    <n v="100"/>
    <n v="336"/>
    <n v="400"/>
    <n v="400"/>
  </r>
  <r>
    <s v="STATIONARY"/>
    <x v="3"/>
    <x v="17"/>
    <x v="102"/>
    <x v="102"/>
    <n v="0"/>
    <n v="1"/>
    <x v="65"/>
    <n v="340"/>
    <n v="340"/>
    <n v="300"/>
    <n v="340"/>
    <n v="340"/>
  </r>
  <r>
    <s v="STATIONARY"/>
    <x v="3"/>
    <x v="17"/>
    <x v="103"/>
    <x v="103"/>
    <n v="0"/>
    <n v="1"/>
    <x v="66"/>
    <n v="600"/>
    <n v="600"/>
    <n v="550"/>
    <n v="600"/>
    <n v="600"/>
  </r>
  <r>
    <s v="STATIONARY"/>
    <x v="3"/>
    <x v="17"/>
    <x v="104"/>
    <x v="104"/>
    <n v="0"/>
    <n v="1"/>
    <x v="7"/>
    <n v="300"/>
    <n v="300"/>
    <n v="250"/>
    <n v="300"/>
    <n v="300"/>
  </r>
  <r>
    <s v="STATIONARY"/>
    <x v="3"/>
    <x v="18"/>
    <x v="105"/>
    <x v="105"/>
    <n v="0"/>
    <n v="2"/>
    <x v="67"/>
    <n v="420"/>
    <n v="420"/>
    <n v="760"/>
    <n v="840"/>
    <n v="840"/>
  </r>
  <r>
    <s v="STATIONARY"/>
    <x v="4"/>
    <x v="5"/>
    <x v="106"/>
    <x v="106"/>
    <n v="0"/>
    <n v="5"/>
    <x v="68"/>
    <n v="240"/>
    <n v="240"/>
    <n v="1075"/>
    <n v="1200"/>
    <n v="1200"/>
  </r>
  <r>
    <s v="STATIONARY"/>
    <x v="3"/>
    <x v="19"/>
    <x v="107"/>
    <x v="107"/>
    <n v="0"/>
    <n v="44"/>
    <x v="69"/>
    <n v="10"/>
    <n v="10"/>
    <n v="264"/>
    <n v="440"/>
    <n v="440"/>
  </r>
  <r>
    <s v="STATIONARY"/>
    <x v="3"/>
    <x v="20"/>
    <x v="108"/>
    <x v="108"/>
    <n v="0"/>
    <n v="11"/>
    <x v="9"/>
    <n v="50"/>
    <n v="50"/>
    <n v="440"/>
    <n v="550"/>
    <n v="550"/>
  </r>
  <r>
    <s v="STATIONARY"/>
    <x v="3"/>
    <x v="21"/>
    <x v="109"/>
    <x v="109"/>
    <n v="0"/>
    <n v="5"/>
    <x v="26"/>
    <n v="70"/>
    <n v="80"/>
    <n v="250"/>
    <n v="350"/>
    <n v="400"/>
  </r>
  <r>
    <s v="STATIONARY"/>
    <x v="3"/>
    <x v="22"/>
    <x v="110"/>
    <x v="110"/>
    <n v="0"/>
    <n v="9"/>
    <x v="64"/>
    <n v="100"/>
    <n v="100"/>
    <n v="756"/>
    <n v="900"/>
    <n v="900"/>
  </r>
  <r>
    <s v="STATIONARY"/>
    <x v="3"/>
    <x v="22"/>
    <x v="111"/>
    <x v="111"/>
    <n v="0"/>
    <n v="4"/>
    <x v="54"/>
    <n v="50"/>
    <n v="50"/>
    <n v="140"/>
    <n v="200"/>
    <n v="200"/>
  </r>
  <r>
    <s v="STATIONARY"/>
    <x v="4"/>
    <x v="5"/>
    <x v="112"/>
    <x v="112"/>
    <n v="0.5"/>
    <n v="6"/>
    <x v="70"/>
    <n v="200"/>
    <n v="200"/>
    <n v="1092"/>
    <n v="1200"/>
    <n v="1200"/>
  </r>
  <r>
    <s v="STATIONARY"/>
    <x v="3"/>
    <x v="22"/>
    <x v="113"/>
    <x v="113"/>
    <n v="0"/>
    <n v="15"/>
    <x v="71"/>
    <n v="15"/>
    <n v="15"/>
    <n v="168.75"/>
    <n v="225"/>
    <n v="225"/>
  </r>
  <r>
    <s v="STATIONARY"/>
    <x v="3"/>
    <x v="20"/>
    <x v="114"/>
    <x v="114"/>
    <n v="0"/>
    <n v="6"/>
    <x v="15"/>
    <n v="70"/>
    <n v="70"/>
    <n v="360"/>
    <n v="420"/>
    <n v="420"/>
  </r>
  <r>
    <s v="STATIONARY"/>
    <x v="3"/>
    <x v="23"/>
    <x v="115"/>
    <x v="115"/>
    <n v="0"/>
    <n v="12"/>
    <x v="72"/>
    <n v="30"/>
    <n v="30"/>
    <n v="282"/>
    <n v="360"/>
    <n v="360"/>
  </r>
  <r>
    <s v="STATIONARY"/>
    <x v="3"/>
    <x v="24"/>
    <x v="116"/>
    <x v="116"/>
    <n v="0"/>
    <n v="30"/>
    <x v="73"/>
    <n v="19"/>
    <n v="20"/>
    <n v="405"/>
    <n v="570"/>
    <n v="600"/>
  </r>
  <r>
    <s v="LAUNDRY"/>
    <x v="5"/>
    <x v="25"/>
    <x v="117"/>
    <x v="117"/>
    <n v="1"/>
    <n v="5"/>
    <x v="46"/>
    <n v="210"/>
    <n v="220"/>
    <n v="925"/>
    <n v="1050"/>
    <n v="1100"/>
  </r>
  <r>
    <s v="LAUNDRY"/>
    <x v="5"/>
    <x v="25"/>
    <x v="118"/>
    <x v="118"/>
    <n v="0.215"/>
    <n v="7"/>
    <x v="74"/>
    <n v="50"/>
    <n v="50"/>
    <n v="306.25"/>
    <n v="350"/>
    <n v="350"/>
  </r>
  <r>
    <s v="LAUNDRY"/>
    <x v="6"/>
    <x v="26"/>
    <x v="119"/>
    <x v="119"/>
    <n v="1"/>
    <n v="1"/>
    <x v="75"/>
    <n v="280"/>
    <n v="300"/>
    <n v="230"/>
    <n v="280"/>
    <n v="300"/>
  </r>
  <r>
    <s v="LAUNDRY"/>
    <x v="6"/>
    <x v="26"/>
    <x v="120"/>
    <x v="120"/>
    <n v="0.8"/>
    <n v="2"/>
    <x v="76"/>
    <n v="100"/>
    <n v="100"/>
    <n v="170"/>
    <n v="200"/>
    <n v="200"/>
  </r>
  <r>
    <s v="LAUNDRY"/>
    <x v="7"/>
    <x v="27"/>
    <x v="121"/>
    <x v="121"/>
    <n v="0.25"/>
    <n v="2"/>
    <x v="77"/>
    <n v="150"/>
    <n v="160"/>
    <n v="227.5"/>
    <n v="300"/>
    <n v="320"/>
  </r>
  <r>
    <s v="LAUNDRY"/>
    <x v="7"/>
    <x v="27"/>
    <x v="122"/>
    <x v="122"/>
    <n v="0.11"/>
    <n v="16"/>
    <x v="78"/>
    <n v="20"/>
    <n v="20"/>
    <n v="276.64"/>
    <n v="320"/>
    <n v="320"/>
  </r>
  <r>
    <s v="LAUNDRY"/>
    <x v="8"/>
    <x v="28"/>
    <x v="123"/>
    <x v="123"/>
    <n v="0.5"/>
    <n v="2"/>
    <x v="79"/>
    <n v="270"/>
    <n v="275"/>
    <n v="490"/>
    <n v="540"/>
    <n v="550"/>
  </r>
  <r>
    <s v="LAUNDRY"/>
    <x v="8"/>
    <x v="28"/>
    <x v="124"/>
    <x v="124"/>
    <n v="1"/>
    <n v="1"/>
    <x v="80"/>
    <n v="530"/>
    <n v="550"/>
    <n v="490"/>
    <n v="530"/>
    <n v="550"/>
  </r>
  <r>
    <s v="LAUNDRY"/>
    <x v="8"/>
    <x v="28"/>
    <x v="125"/>
    <x v="125"/>
    <n v="0.43"/>
    <n v="2"/>
    <x v="81"/>
    <n v="100"/>
    <n v="100"/>
    <n v="174"/>
    <n v="200"/>
    <n v="200"/>
  </r>
  <r>
    <s v="LAUNDRY"/>
    <x v="8"/>
    <x v="28"/>
    <x v="126"/>
    <x v="126"/>
    <n v="1"/>
    <n v="6"/>
    <x v="60"/>
    <n v="230"/>
    <n v="230"/>
    <n v="1230"/>
    <n v="1380"/>
    <n v="1380"/>
  </r>
  <r>
    <s v="OTHERS"/>
    <x v="9"/>
    <x v="29"/>
    <x v="127"/>
    <x v="127"/>
    <n v="1"/>
    <n v="3"/>
    <x v="76"/>
    <n v="100"/>
    <n v="100"/>
    <n v="255"/>
    <n v="300"/>
    <n v="300"/>
  </r>
  <r>
    <s v="RAZOR"/>
    <x v="10"/>
    <x v="30"/>
    <x v="128"/>
    <x v="128"/>
    <n v="0"/>
    <n v="1"/>
    <x v="9"/>
    <n v="50"/>
    <n v="50"/>
    <n v="40"/>
    <n v="50"/>
    <n v="50"/>
  </r>
  <r>
    <s v="RAZOR"/>
    <x v="10"/>
    <x v="30"/>
    <x v="129"/>
    <x v="129"/>
    <n v="0"/>
    <n v="20"/>
    <x v="82"/>
    <n v="60"/>
    <n v="60"/>
    <n v="1050"/>
    <n v="1200"/>
    <n v="1200"/>
  </r>
  <r>
    <s v="RAZOR"/>
    <x v="10"/>
    <x v="30"/>
    <x v="130"/>
    <x v="130"/>
    <n v="0"/>
    <n v="2"/>
    <x v="83"/>
    <n v="90"/>
    <n v="100"/>
    <n v="162"/>
    <n v="180"/>
    <n v="200"/>
  </r>
  <r>
    <s v="RAZOR"/>
    <x v="10"/>
    <x v="30"/>
    <x v="131"/>
    <x v="131"/>
    <n v="0"/>
    <n v="1"/>
    <x v="21"/>
    <n v="150"/>
    <n v="150"/>
    <n v="130"/>
    <n v="150"/>
    <n v="150"/>
  </r>
  <r>
    <s v="RAZOR"/>
    <x v="10"/>
    <x v="30"/>
    <x v="132"/>
    <x v="132"/>
    <n v="0"/>
    <n v="5"/>
    <x v="42"/>
    <n v="120"/>
    <n v="150"/>
    <n v="500"/>
    <n v="600"/>
    <n v="750"/>
  </r>
  <r>
    <s v="RAZOR"/>
    <x v="10"/>
    <x v="30"/>
    <x v="133"/>
    <x v="133"/>
    <n v="0.2"/>
    <n v="1"/>
    <x v="84"/>
    <n v="450"/>
    <n v="499"/>
    <n v="330"/>
    <n v="450"/>
    <n v="499"/>
  </r>
  <r>
    <s v="SKIN CLEANSING"/>
    <x v="11"/>
    <x v="31"/>
    <x v="134"/>
    <x v="134"/>
    <n v="0"/>
    <n v="1"/>
    <x v="85"/>
    <n v="220"/>
    <n v="220"/>
    <n v="186.58"/>
    <n v="220"/>
    <n v="220"/>
  </r>
  <r>
    <s v="COOKING OIL"/>
    <x v="12"/>
    <x v="32"/>
    <x v="135"/>
    <x v="135"/>
    <n v="0.8"/>
    <n v="8"/>
    <x v="86"/>
    <n v="90"/>
    <n v="90"/>
    <n v="557.36"/>
    <n v="720"/>
    <n v="720"/>
  </r>
  <r>
    <s v="COOKING OIL"/>
    <x v="12"/>
    <x v="32"/>
    <x v="136"/>
    <x v="136"/>
    <n v="0.5"/>
    <n v="3"/>
    <x v="87"/>
    <n v="270"/>
    <n v="270"/>
    <n v="780"/>
    <n v="810"/>
    <n v="810"/>
  </r>
  <r>
    <s v="COOKING OIL"/>
    <x v="12"/>
    <x v="32"/>
    <x v="137"/>
    <x v="137"/>
    <n v="0.25"/>
    <n v="4"/>
    <x v="88"/>
    <n v="135"/>
    <n v="135"/>
    <n v="507"/>
    <n v="540"/>
    <n v="540"/>
  </r>
  <r>
    <s v="COOKING OIL"/>
    <x v="12"/>
    <x v="33"/>
    <x v="138"/>
    <x v="138"/>
    <n v="0.25"/>
    <n v="18"/>
    <x v="89"/>
    <n v="150"/>
    <n v="150"/>
    <n v="2392.56"/>
    <n v="2700"/>
    <n v="2700"/>
  </r>
  <r>
    <s v="COOKING OIL"/>
    <x v="12"/>
    <x v="33"/>
    <x v="139"/>
    <x v="139"/>
    <n v="0.125"/>
    <n v="22"/>
    <x v="90"/>
    <n v="80"/>
    <n v="80"/>
    <n v="1540"/>
    <n v="1760"/>
    <n v="1760"/>
  </r>
  <r>
    <s v="COOKING OIL"/>
    <x v="12"/>
    <x v="33"/>
    <x v="140"/>
    <x v="140"/>
    <n v="1"/>
    <n v="1"/>
    <x v="91"/>
    <n v="550"/>
    <n v="550"/>
    <n v="540"/>
    <n v="550"/>
    <n v="550"/>
  </r>
  <r>
    <s v="FOODS"/>
    <x v="13"/>
    <x v="34"/>
    <x v="141"/>
    <x v="141"/>
    <n v="0.125"/>
    <n v="1"/>
    <x v="92"/>
    <n v="90"/>
    <n v="90"/>
    <n v="81.849999999999994"/>
    <n v="90"/>
    <n v="90"/>
  </r>
  <r>
    <s v="FOODS"/>
    <x v="14"/>
    <x v="35"/>
    <x v="142"/>
    <x v="142"/>
    <n v="0.1"/>
    <n v="5"/>
    <x v="93"/>
    <n v="120"/>
    <n v="120"/>
    <n v="546.15"/>
    <n v="600"/>
    <n v="600"/>
  </r>
  <r>
    <s v="FOODS"/>
    <x v="14"/>
    <x v="36"/>
    <x v="143"/>
    <x v="143"/>
    <n v="0.25"/>
    <n v="2"/>
    <x v="94"/>
    <n v="280"/>
    <n v="280"/>
    <n v="487.34"/>
    <n v="560"/>
    <n v="560"/>
  </r>
  <r>
    <s v="FOODS"/>
    <x v="15"/>
    <x v="37"/>
    <x v="144"/>
    <x v="144"/>
    <n v="0.35"/>
    <n v="3"/>
    <x v="95"/>
    <n v="750"/>
    <n v="750"/>
    <n v="2069.4299999999998"/>
    <n v="2250"/>
    <n v="2250"/>
  </r>
  <r>
    <s v="FOODS"/>
    <x v="15"/>
    <x v="37"/>
    <x v="145"/>
    <x v="145"/>
    <n v="0.23"/>
    <n v="1"/>
    <x v="96"/>
    <n v="500"/>
    <n v="500"/>
    <n v="460.27"/>
    <n v="500"/>
    <n v="500"/>
  </r>
  <r>
    <s v="FOODS"/>
    <x v="15"/>
    <x v="38"/>
    <x v="146"/>
    <x v="146"/>
    <n v="2.5000000000000001E-2"/>
    <n v="5"/>
    <x v="97"/>
    <n v="50"/>
    <n v="50"/>
    <n v="216.64999999999998"/>
    <n v="250"/>
    <n v="250"/>
  </r>
  <r>
    <s v="FOODS"/>
    <x v="15"/>
    <x v="37"/>
    <x v="147"/>
    <x v="147"/>
    <n v="1.4999999999999999E-2"/>
    <n v="39"/>
    <x v="98"/>
    <n v="30"/>
    <n v="30"/>
    <n v="1123.5899999999999"/>
    <n v="1170"/>
    <n v="1170"/>
  </r>
  <r>
    <s v="FOODS"/>
    <x v="16"/>
    <x v="39"/>
    <x v="148"/>
    <x v="148"/>
    <n v="1.0999999999999999E-2"/>
    <n v="8"/>
    <x v="99"/>
    <n v="50"/>
    <n v="50"/>
    <n v="250"/>
    <n v="400"/>
    <n v="400"/>
  </r>
  <r>
    <s v="FOODS"/>
    <x v="17"/>
    <x v="40"/>
    <x v="149"/>
    <x v="149"/>
    <n v="0.56499999999999995"/>
    <n v="1"/>
    <x v="100"/>
    <n v="450"/>
    <n v="500"/>
    <n v="400"/>
    <n v="450"/>
    <n v="500"/>
  </r>
  <r>
    <s v="FOODS"/>
    <x v="17"/>
    <x v="40"/>
    <x v="150"/>
    <x v="150"/>
    <n v="0.54"/>
    <n v="1"/>
    <x v="101"/>
    <n v="500"/>
    <n v="550"/>
    <n v="450"/>
    <n v="500"/>
    <n v="550"/>
  </r>
  <r>
    <s v="FOODS"/>
    <x v="17"/>
    <x v="40"/>
    <x v="151"/>
    <x v="151"/>
    <n v="0.22700000000000001"/>
    <n v="4"/>
    <x v="102"/>
    <n v="320"/>
    <n v="350"/>
    <n v="1160"/>
    <n v="1280"/>
    <n v="1400"/>
  </r>
  <r>
    <s v="FOODS"/>
    <x v="17"/>
    <x v="40"/>
    <x v="152"/>
    <x v="152"/>
    <n v="0.56499999999999995"/>
    <n v="2"/>
    <x v="101"/>
    <n v="500"/>
    <n v="550"/>
    <n v="900"/>
    <n v="1000"/>
    <n v="1100"/>
  </r>
  <r>
    <s v="FOODS"/>
    <x v="18"/>
    <x v="41"/>
    <x v="153"/>
    <x v="153"/>
    <n v="0"/>
    <n v="1"/>
    <x v="11"/>
    <n v="120"/>
    <n v="120"/>
    <n v="90"/>
    <n v="120"/>
    <n v="120"/>
  </r>
  <r>
    <s v="FOODS"/>
    <x v="18"/>
    <x v="41"/>
    <x v="154"/>
    <x v="154"/>
    <n v="0.2"/>
    <n v="4"/>
    <x v="103"/>
    <n v="180"/>
    <n v="180"/>
    <n v="599.32000000000005"/>
    <n v="720"/>
    <n v="720"/>
  </r>
  <r>
    <s v="FOODS"/>
    <x v="18"/>
    <x v="41"/>
    <x v="155"/>
    <x v="155"/>
    <n v="0.5"/>
    <n v="3"/>
    <x v="104"/>
    <n v="360"/>
    <n v="380"/>
    <n v="960"/>
    <n v="1080"/>
    <n v="1140"/>
  </r>
  <r>
    <s v="FOODS"/>
    <x v="18"/>
    <x v="41"/>
    <x v="156"/>
    <x v="156"/>
    <n v="0.04"/>
    <n v="9"/>
    <x v="105"/>
    <n v="50"/>
    <n v="50"/>
    <n v="342"/>
    <n v="450"/>
    <n v="450"/>
  </r>
  <r>
    <s v="FOODS"/>
    <x v="19"/>
    <x v="42"/>
    <x v="157"/>
    <x v="157"/>
    <n v="0"/>
    <n v="5"/>
    <x v="106"/>
    <n v="20"/>
    <n v="20"/>
    <n v="90"/>
    <n v="100"/>
    <n v="100"/>
  </r>
  <r>
    <s v="FOODS"/>
    <x v="20"/>
    <x v="43"/>
    <x v="158"/>
    <x v="158"/>
    <n v="0"/>
    <n v="11"/>
    <x v="107"/>
    <n v="220"/>
    <n v="220"/>
    <n v="1859"/>
    <n v="2420"/>
    <n v="2420"/>
  </r>
  <r>
    <s v="FOODS"/>
    <x v="20"/>
    <x v="43"/>
    <x v="159"/>
    <x v="159"/>
    <n v="0.22700000000000001"/>
    <n v="1"/>
    <x v="21"/>
    <n v="160"/>
    <n v="160"/>
    <n v="130"/>
    <n v="160"/>
    <n v="160"/>
  </r>
  <r>
    <s v="FOODS"/>
    <x v="20"/>
    <x v="44"/>
    <x v="160"/>
    <x v="160"/>
    <n v="0.4"/>
    <n v="2"/>
    <x v="41"/>
    <n v="200"/>
    <n v="200"/>
    <n v="310"/>
    <n v="400"/>
    <n v="400"/>
  </r>
  <r>
    <s v="FOODS"/>
    <x v="20"/>
    <x v="44"/>
    <x v="161"/>
    <x v="161"/>
    <n v="0.4"/>
    <n v="2"/>
    <x v="108"/>
    <n v="200"/>
    <n v="200"/>
    <n v="312"/>
    <n v="400"/>
    <n v="400"/>
  </r>
  <r>
    <s v="FOODS"/>
    <x v="20"/>
    <x v="44"/>
    <x v="162"/>
    <x v="162"/>
    <n v="0.4"/>
    <n v="1"/>
    <x v="109"/>
    <n v="200"/>
    <n v="200"/>
    <n v="157.38"/>
    <n v="200"/>
    <n v="200"/>
  </r>
  <r>
    <s v="FOODS"/>
    <x v="20"/>
    <x v="44"/>
    <x v="163"/>
    <x v="163"/>
    <n v="0.25"/>
    <n v="2"/>
    <x v="110"/>
    <n v="150"/>
    <n v="150"/>
    <n v="233"/>
    <n v="300"/>
    <n v="300"/>
  </r>
  <r>
    <s v="FOODS"/>
    <x v="20"/>
    <x v="44"/>
    <x v="164"/>
    <x v="164"/>
    <n v="0.25"/>
    <n v="8"/>
    <x v="110"/>
    <n v="150"/>
    <n v="150"/>
    <n v="932"/>
    <n v="1200"/>
    <n v="1200"/>
  </r>
  <r>
    <s v="FOODS"/>
    <x v="20"/>
    <x v="44"/>
    <x v="165"/>
    <x v="165"/>
    <n v="0.25"/>
    <n v="2"/>
    <x v="110"/>
    <n v="150"/>
    <n v="150"/>
    <n v="233"/>
    <n v="300"/>
    <n v="300"/>
  </r>
  <r>
    <s v="FOODS"/>
    <x v="20"/>
    <x v="44"/>
    <x v="166"/>
    <x v="166"/>
    <n v="0.25"/>
    <n v="3"/>
    <x v="111"/>
    <n v="210"/>
    <n v="210"/>
    <n v="492"/>
    <n v="630"/>
    <n v="630"/>
  </r>
  <r>
    <s v="FOODS"/>
    <x v="20"/>
    <x v="45"/>
    <x v="167"/>
    <x v="167"/>
    <n v="0.2"/>
    <n v="6"/>
    <x v="26"/>
    <n v="70"/>
    <n v="70"/>
    <n v="300"/>
    <n v="420"/>
    <n v="420"/>
  </r>
  <r>
    <s v="FOODS"/>
    <x v="20"/>
    <x v="45"/>
    <x v="168"/>
    <x v="168"/>
    <n v="0.14000000000000001"/>
    <n v="28"/>
    <x v="43"/>
    <n v="70"/>
    <n v="70"/>
    <n v="1344"/>
    <n v="1960"/>
    <n v="1960"/>
  </r>
  <r>
    <s v="FOODS"/>
    <x v="20"/>
    <x v="45"/>
    <x v="169"/>
    <x v="169"/>
    <n v="0.35"/>
    <n v="32"/>
    <x v="42"/>
    <n v="130"/>
    <n v="130"/>
    <n v="3200"/>
    <n v="4160"/>
    <n v="4160"/>
  </r>
  <r>
    <s v="FOODS"/>
    <x v="20"/>
    <x v="45"/>
    <x v="170"/>
    <x v="170"/>
    <n v="0.35"/>
    <n v="5"/>
    <x v="112"/>
    <n v="90"/>
    <n v="90"/>
    <n v="365"/>
    <n v="450"/>
    <n v="450"/>
  </r>
  <r>
    <s v="FOODS"/>
    <x v="20"/>
    <x v="45"/>
    <x v="171"/>
    <x v="171"/>
    <n v="0.35"/>
    <n v="3"/>
    <x v="113"/>
    <n v="100"/>
    <n v="100"/>
    <n v="228"/>
    <n v="300"/>
    <n v="300"/>
  </r>
  <r>
    <s v="SKIN CARE"/>
    <x v="21"/>
    <x v="46"/>
    <x v="172"/>
    <x v="172"/>
    <n v="0"/>
    <n v="15"/>
    <x v="9"/>
    <n v="50"/>
    <n v="50"/>
    <n v="600"/>
    <n v="750"/>
    <n v="750"/>
  </r>
  <r>
    <s v="SKIN CARE"/>
    <x v="21"/>
    <x v="47"/>
    <x v="173"/>
    <x v="173"/>
    <n v="0"/>
    <n v="9"/>
    <x v="9"/>
    <n v="50"/>
    <n v="50"/>
    <n v="360"/>
    <n v="450"/>
    <n v="450"/>
  </r>
  <r>
    <s v="SKIN CARE"/>
    <x v="21"/>
    <x v="47"/>
    <x v="174"/>
    <x v="174"/>
    <n v="0"/>
    <n v="3"/>
    <x v="114"/>
    <n v="80"/>
    <n v="80"/>
    <n v="189"/>
    <n v="240"/>
    <n v="240"/>
  </r>
  <r>
    <s v="SKIN CARE"/>
    <x v="21"/>
    <x v="47"/>
    <x v="175"/>
    <x v="175"/>
    <n v="0"/>
    <n v="36"/>
    <x v="115"/>
    <n v="50"/>
    <n v="50"/>
    <n v="1476"/>
    <n v="1800"/>
    <n v="1800"/>
  </r>
  <r>
    <s v="SKIN CARE"/>
    <x v="21"/>
    <x v="47"/>
    <x v="176"/>
    <x v="176"/>
    <n v="0"/>
    <n v="16"/>
    <x v="114"/>
    <n v="80"/>
    <n v="80"/>
    <n v="1008"/>
    <n v="1280"/>
    <n v="1280"/>
  </r>
  <r>
    <s v="SKIN CARE"/>
    <x v="21"/>
    <x v="47"/>
    <x v="177"/>
    <x v="177"/>
    <n v="0"/>
    <n v="14"/>
    <x v="9"/>
    <n v="50"/>
    <n v="50"/>
    <n v="560"/>
    <n v="700"/>
    <n v="700"/>
  </r>
  <r>
    <s v="SKIN CARE"/>
    <x v="21"/>
    <x v="48"/>
    <x v="178"/>
    <x v="178"/>
    <n v="0"/>
    <n v="12"/>
    <x v="114"/>
    <n v="80"/>
    <n v="80"/>
    <n v="756"/>
    <n v="960"/>
    <n v="960"/>
  </r>
  <r>
    <s v="SKIN CARE"/>
    <x v="22"/>
    <x v="49"/>
    <x v="179"/>
    <x v="179"/>
    <n v="0"/>
    <n v="1"/>
    <x v="116"/>
    <n v="200"/>
    <n v="200"/>
    <n v="170"/>
    <n v="200"/>
    <n v="200"/>
  </r>
  <r>
    <s v="SKIN CARE"/>
    <x v="23"/>
    <x v="50"/>
    <x v="180"/>
    <x v="180"/>
    <n v="0.66"/>
    <n v="1"/>
    <x v="117"/>
    <n v="700"/>
    <n v="800"/>
    <n v="570"/>
    <n v="700"/>
    <n v="800"/>
  </r>
  <r>
    <s v="SKIN CARE"/>
    <x v="23"/>
    <x v="50"/>
    <x v="181"/>
    <x v="181"/>
    <n v="0.66"/>
    <n v="1"/>
    <x v="117"/>
    <n v="700"/>
    <n v="800"/>
    <n v="570"/>
    <n v="700"/>
    <n v="800"/>
  </r>
  <r>
    <s v="SKIN CARE"/>
    <x v="23"/>
    <x v="51"/>
    <x v="182"/>
    <x v="182"/>
    <n v="0"/>
    <n v="2"/>
    <x v="118"/>
    <n v="100"/>
    <n v="100"/>
    <n v="166"/>
    <n v="200"/>
    <n v="200"/>
  </r>
  <r>
    <s v="SKIN CARE"/>
    <x v="23"/>
    <x v="52"/>
    <x v="183"/>
    <x v="183"/>
    <n v="0.5"/>
    <n v="1"/>
    <x v="45"/>
    <n v="250"/>
    <n v="300"/>
    <n v="192.5"/>
    <n v="250"/>
    <n v="300"/>
  </r>
  <r>
    <s v="SKIN CARE"/>
    <x v="23"/>
    <x v="50"/>
    <x v="184"/>
    <x v="184"/>
    <n v="0.15"/>
    <n v="2"/>
    <x v="119"/>
    <n v="250"/>
    <n v="350"/>
    <n v="368.18"/>
    <n v="500"/>
    <n v="700"/>
  </r>
  <r>
    <s v="SKIN CARE"/>
    <x v="23"/>
    <x v="50"/>
    <x v="185"/>
    <x v="185"/>
    <n v="0.1"/>
    <n v="6"/>
    <x v="120"/>
    <n v="200"/>
    <n v="280"/>
    <n v="883.5"/>
    <n v="1200"/>
    <n v="1680"/>
  </r>
  <r>
    <s v="SKIN CARE"/>
    <x v="23"/>
    <x v="53"/>
    <x v="186"/>
    <x v="186"/>
    <n v="0"/>
    <n v="20"/>
    <x v="121"/>
    <n v="50"/>
    <n v="50"/>
    <n v="806"/>
    <n v="1000"/>
    <n v="1000"/>
  </r>
  <r>
    <s v="SKIN CARE"/>
    <x v="24"/>
    <x v="54"/>
    <x v="187"/>
    <x v="187"/>
    <n v="0"/>
    <n v="2"/>
    <x v="122"/>
    <n v="310"/>
    <n v="310"/>
    <n v="540"/>
    <n v="620"/>
    <n v="620"/>
  </r>
  <r>
    <s v="SKIN CARE"/>
    <x v="24"/>
    <x v="54"/>
    <x v="188"/>
    <x v="188"/>
    <n v="0"/>
    <n v="6"/>
    <x v="26"/>
    <n v="60"/>
    <n v="60"/>
    <n v="300"/>
    <n v="360"/>
    <n v="360"/>
  </r>
  <r>
    <s v="SKIN CARE"/>
    <x v="24"/>
    <x v="54"/>
    <x v="189"/>
    <x v="189"/>
    <n v="0"/>
    <n v="1"/>
    <x v="4"/>
    <n v="230"/>
    <n v="230"/>
    <n v="195"/>
    <n v="230"/>
    <n v="230"/>
  </r>
  <r>
    <s v="SKIN CARE"/>
    <x v="24"/>
    <x v="54"/>
    <x v="190"/>
    <x v="190"/>
    <n v="0"/>
    <n v="3"/>
    <x v="60"/>
    <n v="240"/>
    <n v="240"/>
    <n v="615"/>
    <n v="720"/>
    <n v="720"/>
  </r>
  <r>
    <s v="SKIN CARE"/>
    <x v="24"/>
    <x v="54"/>
    <x v="191"/>
    <x v="191"/>
    <n v="0"/>
    <n v="34"/>
    <x v="51"/>
    <n v="120"/>
    <n v="130"/>
    <n v="3230"/>
    <n v="4080"/>
    <n v="4420"/>
  </r>
  <r>
    <s v="SKIN CARE"/>
    <x v="25"/>
    <x v="55"/>
    <x v="192"/>
    <x v="192"/>
    <n v="2.8000000000000001E-2"/>
    <n v="1"/>
    <x v="123"/>
    <n v="300"/>
    <n v="360"/>
    <n v="255"/>
    <n v="300"/>
    <n v="360"/>
  </r>
  <r>
    <s v="SKIN CARE"/>
    <x v="25"/>
    <x v="55"/>
    <x v="193"/>
    <x v="193"/>
    <n v="2.8000000000000001E-2"/>
    <n v="2"/>
    <x v="7"/>
    <n v="320"/>
    <n v="360"/>
    <n v="500"/>
    <n v="640"/>
    <n v="720"/>
  </r>
  <r>
    <s v="SKIN CARE"/>
    <x v="26"/>
    <x v="56"/>
    <x v="194"/>
    <x v="194"/>
    <n v="0"/>
    <n v="1"/>
    <x v="124"/>
    <n v="190"/>
    <n v="200"/>
    <n v="173"/>
    <n v="190"/>
    <n v="200"/>
  </r>
  <r>
    <s v="SKIN CARE"/>
    <x v="26"/>
    <x v="56"/>
    <x v="195"/>
    <x v="195"/>
    <n v="0"/>
    <n v="1"/>
    <x v="5"/>
    <n v="220"/>
    <n v="230"/>
    <n v="200"/>
    <n v="220"/>
    <n v="230"/>
  </r>
  <r>
    <s v="SKIN CARE"/>
    <x v="27"/>
    <x v="57"/>
    <x v="196"/>
    <x v="196"/>
    <n v="0"/>
    <n v="1"/>
    <x v="3"/>
    <n v="240"/>
    <n v="240"/>
    <n v="180"/>
    <n v="240"/>
    <n v="240"/>
  </r>
  <r>
    <s v="SKIN CARE"/>
    <x v="28"/>
    <x v="9"/>
    <x v="197"/>
    <x v="30"/>
    <n v="0.1"/>
    <n v="2"/>
    <x v="125"/>
    <n v="140"/>
    <n v="150"/>
    <n v="250"/>
    <n v="280"/>
    <n v="300"/>
  </r>
  <r>
    <s v="SKIN CARE"/>
    <x v="28"/>
    <x v="9"/>
    <x v="198"/>
    <x v="197"/>
    <n v="0.1"/>
    <n v="2"/>
    <x v="126"/>
    <n v="250"/>
    <n v="260"/>
    <n v="402"/>
    <n v="500"/>
    <n v="520"/>
  </r>
  <r>
    <s v="FOODS"/>
    <x v="29"/>
    <x v="58"/>
    <x v="199"/>
    <x v="198"/>
    <n v="0.4"/>
    <n v="1"/>
    <x v="127"/>
    <n v="340"/>
    <n v="340"/>
    <n v="309"/>
    <n v="340"/>
    <n v="340"/>
  </r>
  <r>
    <s v="FOODS"/>
    <x v="29"/>
    <x v="59"/>
    <x v="200"/>
    <x v="199"/>
    <n v="0.75"/>
    <n v="1"/>
    <x v="128"/>
    <n v="700"/>
    <n v="700"/>
    <n v="650"/>
    <n v="700"/>
    <n v="700"/>
  </r>
  <r>
    <s v="FOODS"/>
    <x v="29"/>
    <x v="60"/>
    <x v="201"/>
    <x v="200"/>
    <n v="4.2999999999999997E-2"/>
    <n v="1"/>
    <x v="129"/>
    <n v="120"/>
    <n v="120"/>
    <n v="103.62"/>
    <n v="120"/>
    <n v="120"/>
  </r>
  <r>
    <s v="SPICES"/>
    <x v="29"/>
    <x v="61"/>
    <x v="202"/>
    <x v="201"/>
    <n v="4.4999999999999998E-2"/>
    <n v="1"/>
    <x v="130"/>
    <n v="145"/>
    <n v="150"/>
    <n v="128.80000000000001"/>
    <n v="145"/>
    <n v="150"/>
  </r>
  <r>
    <s v="SPICES"/>
    <x v="29"/>
    <x v="61"/>
    <x v="203"/>
    <x v="202"/>
    <n v="0.14000000000000001"/>
    <n v="1"/>
    <x v="131"/>
    <n v="280"/>
    <n v="290"/>
    <n v="254.64"/>
    <n v="280"/>
    <n v="290"/>
  </r>
  <r>
    <s v="FOODS"/>
    <x v="29"/>
    <x v="62"/>
    <x v="204"/>
    <x v="203"/>
    <n v="4.2999999999999997E-2"/>
    <n v="1"/>
    <x v="132"/>
    <n v="145"/>
    <n v="150"/>
    <n v="129.4"/>
    <n v="145"/>
    <n v="150"/>
  </r>
  <r>
    <s v="SPICES"/>
    <x v="29"/>
    <x v="61"/>
    <x v="205"/>
    <x v="204"/>
    <n v="0.08"/>
    <n v="2"/>
    <x v="133"/>
    <n v="280"/>
    <n v="290"/>
    <n v="531.9"/>
    <n v="560"/>
    <n v="580"/>
  </r>
  <r>
    <s v="SPICES"/>
    <x v="29"/>
    <x v="61"/>
    <x v="206"/>
    <x v="205"/>
    <n v="7.0000000000000007E-2"/>
    <n v="2"/>
    <x v="134"/>
    <n v="140"/>
    <n v="150"/>
    <n v="271.39999999999998"/>
    <n v="280"/>
    <n v="300"/>
  </r>
  <r>
    <s v="SPICES"/>
    <x v="29"/>
    <x v="61"/>
    <x v="207"/>
    <x v="206"/>
    <n v="1.4999999999999999E-2"/>
    <n v="8"/>
    <x v="135"/>
    <n v="70"/>
    <n v="70"/>
    <n v="490.8"/>
    <n v="560"/>
    <n v="560"/>
  </r>
  <r>
    <s v="SPICES"/>
    <x v="29"/>
    <x v="61"/>
    <x v="208"/>
    <x v="207"/>
    <n v="4.4999999999999998E-2"/>
    <n v="2"/>
    <x v="136"/>
    <n v="130"/>
    <n v="150"/>
    <n v="223.74"/>
    <n v="260"/>
    <n v="300"/>
  </r>
  <r>
    <s v="SPICES"/>
    <x v="29"/>
    <x v="63"/>
    <x v="209"/>
    <x v="208"/>
    <n v="0.4"/>
    <n v="1"/>
    <x v="137"/>
    <n v="230"/>
    <n v="230"/>
    <n v="203"/>
    <n v="230"/>
    <n v="230"/>
  </r>
  <r>
    <s v="FOODS"/>
    <x v="29"/>
    <x v="64"/>
    <x v="210"/>
    <x v="209"/>
    <n v="4.2999999999999997E-2"/>
    <n v="1"/>
    <x v="138"/>
    <n v="145"/>
    <n v="150"/>
    <n v="131.1"/>
    <n v="145"/>
    <n v="150"/>
  </r>
  <r>
    <s v="FOODS"/>
    <x v="29"/>
    <x v="65"/>
    <x v="211"/>
    <x v="210"/>
    <n v="4.2999999999999997E-2"/>
    <n v="3"/>
    <x v="138"/>
    <n v="145"/>
    <n v="150"/>
    <n v="393.29999999999995"/>
    <n v="435"/>
    <n v="450"/>
  </r>
  <r>
    <s v="SPICES"/>
    <x v="29"/>
    <x v="61"/>
    <x v="212"/>
    <x v="211"/>
    <n v="4.2999999999999997E-2"/>
    <n v="3"/>
    <x v="130"/>
    <n v="145"/>
    <n v="150"/>
    <n v="386.40000000000003"/>
    <n v="435"/>
    <n v="450"/>
  </r>
  <r>
    <s v="SPICES"/>
    <x v="29"/>
    <x v="61"/>
    <x v="213"/>
    <x v="212"/>
    <n v="0.05"/>
    <n v="2"/>
    <x v="130"/>
    <n v="145"/>
    <n v="150"/>
    <n v="257.60000000000002"/>
    <n v="290"/>
    <n v="300"/>
  </r>
  <r>
    <s v="SPICES"/>
    <x v="29"/>
    <x v="61"/>
    <x v="214"/>
    <x v="213"/>
    <n v="0"/>
    <n v="3"/>
    <x v="139"/>
    <n v="250"/>
    <n v="260"/>
    <n v="701.09999999999991"/>
    <n v="750"/>
    <n v="780"/>
  </r>
  <r>
    <s v="SPICES"/>
    <x v="29"/>
    <x v="61"/>
    <x v="215"/>
    <x v="214"/>
    <n v="4.5999999999999999E-2"/>
    <n v="2"/>
    <x v="140"/>
    <n v="135"/>
    <n v="140"/>
    <n v="244.7"/>
    <n v="270"/>
    <n v="280"/>
  </r>
  <r>
    <s v="SPICES"/>
    <x v="29"/>
    <x v="61"/>
    <x v="216"/>
    <x v="215"/>
    <n v="8.5999999999999993E-2"/>
    <n v="3"/>
    <x v="133"/>
    <n v="280"/>
    <n v="290"/>
    <n v="797.84999999999991"/>
    <n v="840"/>
    <n v="870"/>
  </r>
  <r>
    <s v="SPICES"/>
    <x v="29"/>
    <x v="61"/>
    <x v="217"/>
    <x v="216"/>
    <n v="0.08"/>
    <n v="3"/>
    <x v="141"/>
    <n v="280"/>
    <n v="290"/>
    <n v="798"/>
    <n v="840"/>
    <n v="870"/>
  </r>
  <r>
    <s v="SPICES"/>
    <x v="29"/>
    <x v="61"/>
    <x v="218"/>
    <x v="217"/>
    <n v="7.0000000000000007E-2"/>
    <n v="3"/>
    <x v="142"/>
    <n v="145"/>
    <n v="150"/>
    <n v="386.01"/>
    <n v="435"/>
    <n v="450"/>
  </r>
  <r>
    <s v="SPICES"/>
    <x v="29"/>
    <x v="61"/>
    <x v="219"/>
    <x v="218"/>
    <n v="0.05"/>
    <n v="3"/>
    <x v="138"/>
    <n v="145"/>
    <n v="150"/>
    <n v="393.29999999999995"/>
    <n v="435"/>
    <n v="450"/>
  </r>
  <r>
    <s v="SPICES"/>
    <x v="29"/>
    <x v="61"/>
    <x v="220"/>
    <x v="219"/>
    <n v="0.21"/>
    <n v="2"/>
    <x v="143"/>
    <n v="130"/>
    <n v="130"/>
    <n v="202.08"/>
    <n v="260"/>
    <n v="260"/>
  </r>
  <r>
    <s v="SPICES"/>
    <x v="29"/>
    <x v="61"/>
    <x v="221"/>
    <x v="220"/>
    <n v="8.5000000000000006E-2"/>
    <n v="3"/>
    <x v="144"/>
    <n v="260"/>
    <n v="270"/>
    <n v="717.48"/>
    <n v="780"/>
    <n v="810"/>
  </r>
  <r>
    <s v="SPICES"/>
    <x v="29"/>
    <x v="61"/>
    <x v="222"/>
    <x v="221"/>
    <n v="4.4999999999999998E-2"/>
    <n v="1"/>
    <x v="136"/>
    <n v="130"/>
    <n v="150"/>
    <n v="111.87"/>
    <n v="130"/>
    <n v="150"/>
  </r>
  <r>
    <s v="SPICES"/>
    <x v="29"/>
    <x v="61"/>
    <x v="223"/>
    <x v="222"/>
    <n v="2.5000000000000001E-2"/>
    <n v="4"/>
    <x v="145"/>
    <n v="80"/>
    <n v="80"/>
    <n v="282.72000000000003"/>
    <n v="320"/>
    <n v="320"/>
  </r>
  <r>
    <s v="SPICES"/>
    <x v="29"/>
    <x v="61"/>
    <x v="224"/>
    <x v="223"/>
    <n v="0.04"/>
    <n v="1"/>
    <x v="138"/>
    <n v="145"/>
    <n v="150"/>
    <n v="131.1"/>
    <n v="145"/>
    <n v="150"/>
  </r>
  <r>
    <s v="SPICES"/>
    <x v="29"/>
    <x v="61"/>
    <x v="225"/>
    <x v="224"/>
    <n v="0.05"/>
    <n v="4"/>
    <x v="146"/>
    <n v="150"/>
    <n v="150"/>
    <n v="523.12"/>
    <n v="600"/>
    <n v="600"/>
  </r>
  <r>
    <s v="SPICES"/>
    <x v="29"/>
    <x v="61"/>
    <x v="226"/>
    <x v="225"/>
    <n v="0"/>
    <n v="3"/>
    <x v="147"/>
    <n v="80"/>
    <n v="80"/>
    <n v="215.91899999999998"/>
    <n v="240"/>
    <n v="240"/>
  </r>
  <r>
    <s v="SPICES"/>
    <x v="29"/>
    <x v="63"/>
    <x v="227"/>
    <x v="226"/>
    <n v="0.4"/>
    <n v="1"/>
    <x v="137"/>
    <n v="230"/>
    <n v="230"/>
    <n v="203"/>
    <n v="230"/>
    <n v="230"/>
  </r>
  <r>
    <s v="FOODS"/>
    <x v="29"/>
    <x v="45"/>
    <x v="228"/>
    <x v="227"/>
    <n v="0.12"/>
    <n v="6"/>
    <x v="148"/>
    <n v="80"/>
    <n v="80"/>
    <n v="386.64"/>
    <n v="480"/>
    <n v="480"/>
  </r>
  <r>
    <s v="SPICES"/>
    <x v="30"/>
    <x v="66"/>
    <x v="229"/>
    <x v="228"/>
    <n v="0.12"/>
    <n v="3"/>
    <x v="149"/>
    <n v="260"/>
    <n v="270"/>
    <n v="704.01"/>
    <n v="780"/>
    <n v="810"/>
  </r>
  <r>
    <s v="SPICES"/>
    <x v="30"/>
    <x v="66"/>
    <x v="230"/>
    <x v="229"/>
    <n v="0.09"/>
    <n v="4"/>
    <x v="122"/>
    <n v="280"/>
    <n v="290"/>
    <n v="1080"/>
    <n v="1120"/>
    <n v="1160"/>
  </r>
  <r>
    <s v="SPICES"/>
    <x v="30"/>
    <x v="66"/>
    <x v="231"/>
    <x v="230"/>
    <n v="0.09"/>
    <n v="3"/>
    <x v="150"/>
    <n v="280"/>
    <n v="290"/>
    <n v="756"/>
    <n v="840"/>
    <n v="870"/>
  </r>
  <r>
    <s v="SPICES"/>
    <x v="30"/>
    <x v="66"/>
    <x v="232"/>
    <x v="231"/>
    <n v="0.05"/>
    <n v="2"/>
    <x v="151"/>
    <n v="260"/>
    <n v="270"/>
    <n v="478.66"/>
    <n v="520"/>
    <n v="540"/>
  </r>
  <r>
    <s v="SPICES"/>
    <x v="30"/>
    <x v="66"/>
    <x v="233"/>
    <x v="232"/>
    <n v="2.5000000000000001E-2"/>
    <n v="2"/>
    <x v="152"/>
    <n v="70"/>
    <n v="70"/>
    <n v="119.5"/>
    <n v="140"/>
    <n v="140"/>
  </r>
  <r>
    <s v="SPICES"/>
    <x v="30"/>
    <x v="66"/>
    <x v="234"/>
    <x v="233"/>
    <n v="0.03"/>
    <n v="11"/>
    <x v="153"/>
    <n v="70"/>
    <n v="70"/>
    <n v="570.24"/>
    <n v="770"/>
    <n v="770"/>
  </r>
  <r>
    <s v="SPICES"/>
    <x v="30"/>
    <x v="66"/>
    <x v="235"/>
    <x v="234"/>
    <n v="0.03"/>
    <n v="5"/>
    <x v="154"/>
    <n v="70"/>
    <n v="70"/>
    <n v="292.92500000000001"/>
    <n v="350"/>
    <n v="350"/>
  </r>
  <r>
    <s v="SPICES"/>
    <x v="30"/>
    <x v="66"/>
    <x v="236"/>
    <x v="235"/>
    <n v="0.03"/>
    <n v="3"/>
    <x v="155"/>
    <n v="70"/>
    <n v="70"/>
    <n v="198"/>
    <n v="210"/>
    <n v="210"/>
  </r>
  <r>
    <s v="SPICES"/>
    <x v="30"/>
    <x v="66"/>
    <x v="237"/>
    <x v="236"/>
    <n v="2.3E-2"/>
    <n v="6"/>
    <x v="156"/>
    <n v="80"/>
    <n v="80"/>
    <n v="412.98"/>
    <n v="480"/>
    <n v="480"/>
  </r>
  <r>
    <s v="SPICES"/>
    <x v="30"/>
    <x v="66"/>
    <x v="238"/>
    <x v="237"/>
    <n v="0.1"/>
    <n v="5"/>
    <x v="157"/>
    <n v="260"/>
    <n v="270"/>
    <n v="1196.25"/>
    <n v="1300"/>
    <n v="1350"/>
  </r>
  <r>
    <s v="SPICES"/>
    <x v="30"/>
    <x v="66"/>
    <x v="239"/>
    <x v="238"/>
    <n v="0.06"/>
    <n v="2"/>
    <x v="158"/>
    <n v="145"/>
    <n v="150"/>
    <n v="255.34"/>
    <n v="290"/>
    <n v="300"/>
  </r>
  <r>
    <s v="SPICES"/>
    <x v="30"/>
    <x v="66"/>
    <x v="240"/>
    <x v="239"/>
    <n v="0.05"/>
    <n v="2"/>
    <x v="159"/>
    <n v="100"/>
    <n v="100"/>
    <n v="163.66"/>
    <n v="200"/>
    <n v="200"/>
  </r>
  <r>
    <s v="SPICES"/>
    <x v="30"/>
    <x v="66"/>
    <x v="241"/>
    <x v="240"/>
    <n v="0.05"/>
    <n v="3"/>
    <x v="160"/>
    <n v="260"/>
    <n v="270"/>
    <n v="695.01"/>
    <n v="780"/>
    <n v="810"/>
  </r>
  <r>
    <s v="SPICES"/>
    <x v="30"/>
    <x v="66"/>
    <x v="242"/>
    <x v="241"/>
    <n v="0.05"/>
    <n v="3"/>
    <x v="161"/>
    <n v="260"/>
    <n v="270"/>
    <n v="696"/>
    <n v="780"/>
    <n v="810"/>
  </r>
  <r>
    <s v="SPICES"/>
    <x v="30"/>
    <x v="66"/>
    <x v="243"/>
    <x v="242"/>
    <n v="4.4999999999999998E-2"/>
    <n v="5"/>
    <x v="162"/>
    <n v="140"/>
    <n v="150"/>
    <n v="590"/>
    <n v="700"/>
    <n v="750"/>
  </r>
  <r>
    <s v="SPICES"/>
    <x v="30"/>
    <x v="66"/>
    <x v="244"/>
    <x v="243"/>
    <n v="0.04"/>
    <n v="2"/>
    <x v="163"/>
    <n v="145"/>
    <n v="150"/>
    <n v="257"/>
    <n v="290"/>
    <n v="300"/>
  </r>
  <r>
    <s v="SPICES"/>
    <x v="30"/>
    <x v="66"/>
    <x v="245"/>
    <x v="244"/>
    <n v="0.04"/>
    <n v="1"/>
    <x v="164"/>
    <n v="140"/>
    <n v="150"/>
    <n v="126"/>
    <n v="140"/>
    <n v="150"/>
  </r>
  <r>
    <s v="SPICES"/>
    <x v="30"/>
    <x v="66"/>
    <x v="246"/>
    <x v="245"/>
    <n v="5.5E-2"/>
    <n v="3"/>
    <x v="162"/>
    <n v="130"/>
    <n v="140"/>
    <n v="354"/>
    <n v="390"/>
    <n v="420"/>
  </r>
  <r>
    <s v="SPICES"/>
    <x v="30"/>
    <x v="66"/>
    <x v="247"/>
    <x v="246"/>
    <n v="0.05"/>
    <n v="2"/>
    <x v="162"/>
    <n v="140"/>
    <n v="150"/>
    <n v="236"/>
    <n v="280"/>
    <n v="300"/>
  </r>
  <r>
    <s v="SPICES"/>
    <x v="30"/>
    <x v="66"/>
    <x v="248"/>
    <x v="247"/>
    <n v="0.05"/>
    <n v="2"/>
    <x v="163"/>
    <n v="145"/>
    <n v="150"/>
    <n v="257"/>
    <n v="290"/>
    <n v="300"/>
  </r>
  <r>
    <s v="SPICES"/>
    <x v="30"/>
    <x v="66"/>
    <x v="249"/>
    <x v="248"/>
    <n v="0.05"/>
    <n v="2"/>
    <x v="165"/>
    <n v="145"/>
    <n v="150"/>
    <n v="253"/>
    <n v="290"/>
    <n v="300"/>
  </r>
  <r>
    <s v="SPICES"/>
    <x v="30"/>
    <x v="66"/>
    <x v="250"/>
    <x v="249"/>
    <n v="0.06"/>
    <n v="2"/>
    <x v="165"/>
    <n v="145"/>
    <n v="150"/>
    <n v="253"/>
    <n v="290"/>
    <n v="300"/>
  </r>
  <r>
    <s v="SPICES"/>
    <x v="30"/>
    <x v="66"/>
    <x v="251"/>
    <x v="250"/>
    <n v="0.05"/>
    <n v="2"/>
    <x v="166"/>
    <n v="140"/>
    <n v="150"/>
    <n v="252.66"/>
    <n v="280"/>
    <n v="300"/>
  </r>
  <r>
    <s v="SPICES"/>
    <x v="30"/>
    <x v="66"/>
    <x v="252"/>
    <x v="251"/>
    <n v="0.05"/>
    <n v="3"/>
    <x v="165"/>
    <n v="145"/>
    <n v="150"/>
    <n v="379.5"/>
    <n v="435"/>
    <n v="450"/>
  </r>
  <r>
    <s v="SPICES"/>
    <x v="30"/>
    <x v="66"/>
    <x v="253"/>
    <x v="252"/>
    <n v="0.05"/>
    <n v="2"/>
    <x v="32"/>
    <n v="120"/>
    <n v="120"/>
    <n v="202"/>
    <n v="240"/>
    <n v="240"/>
  </r>
  <r>
    <s v="SPICES"/>
    <x v="30"/>
    <x v="66"/>
    <x v="254"/>
    <x v="253"/>
    <n v="0.05"/>
    <n v="3"/>
    <x v="165"/>
    <n v="145"/>
    <n v="150"/>
    <n v="379.5"/>
    <n v="435"/>
    <n v="450"/>
  </r>
  <r>
    <s v="SPICES"/>
    <x v="30"/>
    <x v="66"/>
    <x v="255"/>
    <x v="254"/>
    <n v="0.05"/>
    <n v="2"/>
    <x v="165"/>
    <n v="145"/>
    <n v="150"/>
    <n v="253"/>
    <n v="290"/>
    <n v="300"/>
  </r>
  <r>
    <s v="SPICES"/>
    <x v="30"/>
    <x v="66"/>
    <x v="256"/>
    <x v="255"/>
    <n v="2.5000000000000001E-2"/>
    <n v="2"/>
    <x v="167"/>
    <n v="110"/>
    <n v="110"/>
    <n v="193.34"/>
    <n v="220"/>
    <n v="220"/>
  </r>
  <r>
    <s v="SPICES"/>
    <x v="30"/>
    <x v="66"/>
    <x v="257"/>
    <x v="256"/>
    <n v="0"/>
    <n v="1"/>
    <x v="168"/>
    <n v="140"/>
    <n v="145"/>
    <n v="129"/>
    <n v="140"/>
    <n v="145"/>
  </r>
  <r>
    <s v="SPICES"/>
    <x v="29"/>
    <x v="63"/>
    <x v="258"/>
    <x v="257"/>
    <n v="0.8"/>
    <n v="1"/>
    <x v="169"/>
    <n v="400"/>
    <n v="400"/>
    <n v="353.93"/>
    <n v="400"/>
    <n v="400"/>
  </r>
  <r>
    <s v="SPICES"/>
    <x v="29"/>
    <x v="61"/>
    <x v="259"/>
    <x v="258"/>
    <n v="0.8"/>
    <n v="3"/>
    <x v="170"/>
    <n v="60"/>
    <n v="60"/>
    <n v="146.25"/>
    <n v="180"/>
    <n v="180"/>
  </r>
  <r>
    <s v="SPICES"/>
    <x v="29"/>
    <x v="61"/>
    <x v="260"/>
    <x v="259"/>
    <n v="1.4999999999999999E-2"/>
    <n v="4"/>
    <x v="54"/>
    <n v="40"/>
    <n v="40"/>
    <n v="140"/>
    <n v="160"/>
    <n v="160"/>
  </r>
  <r>
    <s v="SPICES"/>
    <x v="29"/>
    <x v="61"/>
    <x v="261"/>
    <x v="260"/>
    <n v="0.05"/>
    <n v="6"/>
    <x v="171"/>
    <n v="80"/>
    <n v="80"/>
    <n v="431.82"/>
    <n v="480"/>
    <n v="480"/>
  </r>
  <r>
    <s v="SPICES"/>
    <x v="29"/>
    <x v="61"/>
    <x v="262"/>
    <x v="261"/>
    <n v="0.8"/>
    <n v="7"/>
    <x v="170"/>
    <n v="60"/>
    <n v="70"/>
    <n v="341.25"/>
    <n v="420"/>
    <n v="490"/>
  </r>
  <r>
    <s v="SPICES"/>
    <x v="29"/>
    <x v="61"/>
    <x v="263"/>
    <x v="262"/>
    <n v="0"/>
    <n v="9"/>
    <x v="172"/>
    <n v="80"/>
    <n v="80"/>
    <n v="619.74"/>
    <n v="720"/>
    <n v="720"/>
  </r>
  <r>
    <s v="SPICES"/>
    <x v="29"/>
    <x v="61"/>
    <x v="264"/>
    <x v="263"/>
    <n v="0"/>
    <n v="12"/>
    <x v="172"/>
    <n v="80"/>
    <n v="80"/>
    <n v="826.31999999999994"/>
    <n v="960"/>
    <n v="960"/>
  </r>
  <r>
    <s v="SPICES"/>
    <x v="31"/>
    <x v="67"/>
    <x v="265"/>
    <x v="264"/>
    <n v="0.12"/>
    <n v="3"/>
    <x v="173"/>
    <n v="80"/>
    <n v="80"/>
    <n v="204.39"/>
    <n v="240"/>
    <n v="240"/>
  </r>
  <r>
    <s v="SPICES"/>
    <x v="31"/>
    <x v="67"/>
    <x v="266"/>
    <x v="265"/>
    <n v="0.27500000000000002"/>
    <n v="3"/>
    <x v="174"/>
    <n v="150"/>
    <n v="150"/>
    <n v="400.98"/>
    <n v="450"/>
    <n v="450"/>
  </r>
  <r>
    <s v="SPICES"/>
    <x v="31"/>
    <x v="67"/>
    <x v="267"/>
    <x v="266"/>
    <n v="0.12"/>
    <n v="4"/>
    <x v="175"/>
    <n v="90"/>
    <n v="100"/>
    <n v="293.48"/>
    <n v="360"/>
    <n v="400"/>
  </r>
  <r>
    <s v="SPICES"/>
    <x v="31"/>
    <x v="67"/>
    <x v="268"/>
    <x v="267"/>
    <n v="0.27500000000000002"/>
    <n v="3"/>
    <x v="176"/>
    <n v="160"/>
    <n v="180"/>
    <n v="423.59999999999997"/>
    <n v="480"/>
    <n v="540"/>
  </r>
  <r>
    <s v="SPICES"/>
    <x v="31"/>
    <x v="67"/>
    <x v="269"/>
    <x v="268"/>
    <n v="0.12"/>
    <n v="3"/>
    <x v="177"/>
    <n v="70"/>
    <n v="80"/>
    <n v="177.89999999999998"/>
    <n v="210"/>
    <n v="240"/>
  </r>
  <r>
    <s v="SPICES"/>
    <x v="31"/>
    <x v="67"/>
    <x v="270"/>
    <x v="269"/>
    <n v="0.3"/>
    <n v="3"/>
    <x v="178"/>
    <n v="120"/>
    <n v="120"/>
    <n v="325.62"/>
    <n v="360"/>
    <n v="360"/>
  </r>
  <r>
    <s v="SPICES"/>
    <x v="31"/>
    <x v="67"/>
    <x v="271"/>
    <x v="270"/>
    <n v="0.7"/>
    <n v="3"/>
    <x v="179"/>
    <n v="200"/>
    <n v="220"/>
    <n v="536.09999999999991"/>
    <n v="600"/>
    <n v="660"/>
  </r>
  <r>
    <s v="SPICES"/>
    <x v="31"/>
    <x v="67"/>
    <x v="272"/>
    <x v="271"/>
    <n v="0.22500000000000001"/>
    <n v="2"/>
    <x v="180"/>
    <n v="130"/>
    <n v="130"/>
    <n v="209.04"/>
    <n v="260"/>
    <n v="260"/>
  </r>
  <r>
    <s v="SPICES"/>
    <x v="31"/>
    <x v="67"/>
    <x v="273"/>
    <x v="272"/>
    <n v="0.2"/>
    <n v="2"/>
    <x v="181"/>
    <n v="100"/>
    <n v="100"/>
    <n v="177.54"/>
    <n v="200"/>
    <n v="200"/>
  </r>
  <r>
    <s v="SPICES"/>
    <x v="31"/>
    <x v="67"/>
    <x v="274"/>
    <x v="273"/>
    <n v="0.27500000000000002"/>
    <n v="4"/>
    <x v="182"/>
    <n v="400"/>
    <n v="420"/>
    <n v="1453.24"/>
    <n v="1600"/>
    <n v="1680"/>
  </r>
  <r>
    <s v="SPICES"/>
    <x v="31"/>
    <x v="67"/>
    <x v="275"/>
    <x v="274"/>
    <n v="0.12"/>
    <n v="3"/>
    <x v="183"/>
    <n v="230"/>
    <n v="250"/>
    <n v="601.5"/>
    <n v="690"/>
    <n v="750"/>
  </r>
  <r>
    <s v="SPICES"/>
    <x v="31"/>
    <x v="67"/>
    <x v="276"/>
    <x v="275"/>
    <n v="0.21"/>
    <n v="1"/>
    <x v="184"/>
    <n v="130"/>
    <n v="130"/>
    <n v="105"/>
    <n v="130"/>
    <n v="130"/>
  </r>
  <r>
    <s v="SPICES"/>
    <x v="31"/>
    <x v="67"/>
    <x v="277"/>
    <x v="276"/>
    <n v="0.7"/>
    <n v="1"/>
    <x v="185"/>
    <n v="300"/>
    <n v="300"/>
    <n v="269"/>
    <n v="300"/>
    <n v="300"/>
  </r>
  <r>
    <s v="SPICES"/>
    <x v="31"/>
    <x v="67"/>
    <x v="278"/>
    <x v="277"/>
    <n v="0.7"/>
    <n v="1"/>
    <x v="186"/>
    <n v="290"/>
    <n v="290"/>
    <n v="258.8"/>
    <n v="290"/>
    <n v="290"/>
  </r>
  <r>
    <s v="SPICES"/>
    <x v="31"/>
    <x v="67"/>
    <x v="279"/>
    <x v="278"/>
    <n v="0.39"/>
    <n v="2"/>
    <x v="187"/>
    <n v="400"/>
    <n v="400"/>
    <n v="695.46"/>
    <n v="800"/>
    <n v="800"/>
  </r>
  <r>
    <s v="DYPERS"/>
    <x v="32"/>
    <x v="68"/>
    <x v="280"/>
    <x v="279"/>
    <n v="0"/>
    <n v="2"/>
    <x v="188"/>
    <n v="420"/>
    <n v="450"/>
    <n v="727.44"/>
    <n v="840"/>
    <n v="900"/>
  </r>
  <r>
    <s v="OTHERS"/>
    <x v="9"/>
    <x v="29"/>
    <x v="281"/>
    <x v="280"/>
    <n v="2.75"/>
    <n v="4"/>
    <x v="189"/>
    <n v="200"/>
    <n v="200"/>
    <n v="560"/>
    <n v="800"/>
    <n v="800"/>
  </r>
  <r>
    <s v="DYPERS"/>
    <x v="33"/>
    <x v="69"/>
    <x v="282"/>
    <x v="281"/>
    <n v="0"/>
    <n v="4"/>
    <x v="190"/>
    <n v="550"/>
    <n v="550"/>
    <n v="1952"/>
    <n v="2200"/>
    <n v="2200"/>
  </r>
  <r>
    <s v="DYPERS"/>
    <x v="32"/>
    <x v="68"/>
    <x v="283"/>
    <x v="282"/>
    <n v="0"/>
    <n v="1"/>
    <x v="191"/>
    <n v="220"/>
    <n v="220"/>
    <n v="184.57"/>
    <n v="220"/>
    <n v="220"/>
  </r>
  <r>
    <s v="DYPERS"/>
    <x v="34"/>
    <x v="68"/>
    <x v="284"/>
    <x v="283"/>
    <n v="0"/>
    <n v="1"/>
    <x v="192"/>
    <n v="2800"/>
    <n v="2800"/>
    <n v="2736.14"/>
    <n v="2800"/>
    <n v="2800"/>
  </r>
  <r>
    <s v="HAIR CARE"/>
    <x v="34"/>
    <x v="70"/>
    <x v="285"/>
    <x v="284"/>
    <n v="0.18"/>
    <n v="1"/>
    <x v="193"/>
    <n v="440"/>
    <n v="450"/>
    <n v="420"/>
    <n v="440"/>
    <n v="450"/>
  </r>
  <r>
    <s v="HAIR CARE"/>
    <x v="34"/>
    <x v="70"/>
    <x v="286"/>
    <x v="285"/>
    <n v="0.36"/>
    <n v="1"/>
    <x v="194"/>
    <n v="730"/>
    <n v="730"/>
    <n v="662.38"/>
    <n v="730"/>
    <n v="730"/>
  </r>
  <r>
    <s v="DYPERS"/>
    <x v="32"/>
    <x v="68"/>
    <x v="287"/>
    <x v="286"/>
    <n v="0"/>
    <n v="1"/>
    <x v="191"/>
    <n v="220"/>
    <n v="220"/>
    <n v="184.57"/>
    <n v="220"/>
    <n v="220"/>
  </r>
  <r>
    <s v="SKIN CLEANSING"/>
    <x v="34"/>
    <x v="71"/>
    <x v="288"/>
    <x v="287"/>
    <n v="0.125"/>
    <n v="4"/>
    <x v="195"/>
    <n v="170"/>
    <n v="175"/>
    <n v="650"/>
    <n v="680"/>
    <n v="700"/>
  </r>
  <r>
    <s v="OTHERS"/>
    <x v="34"/>
    <x v="72"/>
    <x v="289"/>
    <x v="288"/>
    <n v="0"/>
    <n v="5"/>
    <x v="196"/>
    <n v="190"/>
    <n v="190"/>
    <n v="825"/>
    <n v="950"/>
    <n v="950"/>
  </r>
  <r>
    <s v="FOODS"/>
    <x v="35"/>
    <x v="36"/>
    <x v="290"/>
    <x v="289"/>
    <n v="4.4999999999999998E-2"/>
    <n v="3"/>
    <x v="197"/>
    <n v="50"/>
    <n v="50"/>
    <n v="138"/>
    <n v="150"/>
    <n v="150"/>
  </r>
  <r>
    <s v="FOODS"/>
    <x v="35"/>
    <x v="36"/>
    <x v="291"/>
    <x v="290"/>
    <n v="4.4999999999999998E-2"/>
    <n v="2"/>
    <x v="197"/>
    <n v="50"/>
    <n v="50"/>
    <n v="92"/>
    <n v="100"/>
    <n v="100"/>
  </r>
  <r>
    <s v="HAIR CARE"/>
    <x v="35"/>
    <x v="73"/>
    <x v="292"/>
    <x v="291"/>
    <n v="0.17499999999999999"/>
    <n v="1"/>
    <x v="198"/>
    <n v="500"/>
    <n v="520"/>
    <n v="401"/>
    <n v="500"/>
    <n v="520"/>
  </r>
  <r>
    <s v="HAIR CARE"/>
    <x v="35"/>
    <x v="73"/>
    <x v="293"/>
    <x v="292"/>
    <n v="0.36"/>
    <n v="1"/>
    <x v="199"/>
    <n v="850"/>
    <n v="870"/>
    <n v="782"/>
    <n v="850"/>
    <n v="870"/>
  </r>
  <r>
    <s v="HAIR CARE"/>
    <x v="35"/>
    <x v="73"/>
    <x v="294"/>
    <x v="293"/>
    <n v="0.18"/>
    <n v="1"/>
    <x v="200"/>
    <n v="520"/>
    <n v="540"/>
    <n v="483"/>
    <n v="520"/>
    <n v="540"/>
  </r>
  <r>
    <s v="FOODS"/>
    <x v="35"/>
    <x v="74"/>
    <x v="295"/>
    <x v="294"/>
    <n v="0.4"/>
    <n v="1"/>
    <x v="201"/>
    <n v="250"/>
    <n v="250"/>
    <n v="222"/>
    <n v="250"/>
    <n v="250"/>
  </r>
  <r>
    <s v="FOODS"/>
    <x v="35"/>
    <x v="74"/>
    <x v="296"/>
    <x v="295"/>
    <n v="0.19"/>
    <n v="1"/>
    <x v="202"/>
    <n v="125"/>
    <n v="125"/>
    <n v="109"/>
    <n v="125"/>
    <n v="125"/>
  </r>
  <r>
    <s v="FOODS"/>
    <x v="35"/>
    <x v="75"/>
    <x v="297"/>
    <x v="296"/>
    <n v="1.7999999999999999E-2"/>
    <n v="5"/>
    <x v="203"/>
    <n v="30"/>
    <n v="30"/>
    <n v="133.75"/>
    <n v="150"/>
    <n v="150"/>
  </r>
  <r>
    <s v="HAIR CARE"/>
    <x v="36"/>
    <x v="5"/>
    <x v="298"/>
    <x v="297"/>
    <n v="0.5"/>
    <n v="4"/>
    <x v="204"/>
    <n v="120"/>
    <n v="160"/>
    <n v="492"/>
    <n v="480"/>
    <n v="640"/>
  </r>
  <r>
    <s v="HAIR CARE"/>
    <x v="36"/>
    <x v="5"/>
    <x v="299"/>
    <x v="1"/>
    <n v="0.5"/>
    <n v="2"/>
    <x v="205"/>
    <n v="400"/>
    <n v="400"/>
    <n v="725"/>
    <n v="800"/>
    <n v="800"/>
  </r>
  <r>
    <s v="HAIR CARE"/>
    <x v="37"/>
    <x v="76"/>
    <x v="300"/>
    <x v="298"/>
    <n v="0"/>
    <n v="20"/>
    <x v="206"/>
    <n v="80"/>
    <n v="80"/>
    <n v="1220"/>
    <n v="1600"/>
    <n v="1600"/>
  </r>
  <r>
    <s v="HOME CARE"/>
    <x v="35"/>
    <x v="77"/>
    <x v="301"/>
    <x v="299"/>
    <n v="0.46"/>
    <n v="1"/>
    <x v="207"/>
    <n v="150"/>
    <n v="150"/>
    <n v="139.19"/>
    <n v="150"/>
    <n v="150"/>
  </r>
  <r>
    <s v="HOME CARE"/>
    <x v="35"/>
    <x v="77"/>
    <x v="302"/>
    <x v="300"/>
    <n v="0.23"/>
    <n v="2"/>
    <x v="208"/>
    <n v="75"/>
    <n v="75"/>
    <n v="139.19999999999999"/>
    <n v="150"/>
    <n v="150"/>
  </r>
  <r>
    <s v="HAIR CARE"/>
    <x v="35"/>
    <x v="78"/>
    <x v="303"/>
    <x v="301"/>
    <n v="0.37"/>
    <n v="1"/>
    <x v="66"/>
    <n v="650"/>
    <n v="670"/>
    <n v="550"/>
    <n v="650"/>
    <n v="670"/>
  </r>
  <r>
    <s v="HAIR CARE"/>
    <x v="35"/>
    <x v="78"/>
    <x v="304"/>
    <x v="302"/>
    <n v="0.65"/>
    <n v="1"/>
    <x v="209"/>
    <n v="1120"/>
    <n v="1150"/>
    <n v="1029"/>
    <n v="1120"/>
    <n v="1150"/>
  </r>
  <r>
    <s v="HAIR CARE"/>
    <x v="35"/>
    <x v="78"/>
    <x v="305"/>
    <x v="303"/>
    <n v="0.17499999999999999"/>
    <n v="1"/>
    <x v="210"/>
    <n v="360"/>
    <n v="370"/>
    <n v="315.81"/>
    <n v="360"/>
    <n v="370"/>
  </r>
  <r>
    <s v="HAIR CARE"/>
    <x v="35"/>
    <x v="78"/>
    <x v="306"/>
    <x v="304"/>
    <n v="0.17499999999999999"/>
    <n v="3"/>
    <x v="211"/>
    <n v="340"/>
    <n v="370"/>
    <n v="904.5"/>
    <n v="1020"/>
    <n v="1110"/>
  </r>
  <r>
    <s v="HAIR CARE"/>
    <x v="35"/>
    <x v="78"/>
    <x v="307"/>
    <x v="305"/>
    <n v="8.9999999999999993E-3"/>
    <n v="11"/>
    <x v="212"/>
    <n v="10"/>
    <n v="10"/>
    <n v="100.54"/>
    <n v="110"/>
    <n v="110"/>
  </r>
  <r>
    <s v="HAIR CARE"/>
    <x v="35"/>
    <x v="78"/>
    <x v="308"/>
    <x v="306"/>
    <n v="8.9999999999999993E-3"/>
    <n v="15"/>
    <x v="213"/>
    <n v="10"/>
    <n v="10"/>
    <n v="137.0985"/>
    <n v="150"/>
    <n v="150"/>
  </r>
  <r>
    <s v="SKIN CLEANSING"/>
    <x v="35"/>
    <x v="79"/>
    <x v="309"/>
    <x v="307"/>
    <n v="0.2"/>
    <n v="2"/>
    <x v="123"/>
    <n v="280"/>
    <n v="280"/>
    <n v="510"/>
    <n v="560"/>
    <n v="560"/>
  </r>
  <r>
    <s v="SKIN CLEANSING"/>
    <x v="35"/>
    <x v="79"/>
    <x v="310"/>
    <x v="308"/>
    <n v="0.13"/>
    <n v="1"/>
    <x v="214"/>
    <n v="125"/>
    <n v="125"/>
    <n v="115.72"/>
    <n v="125"/>
    <n v="125"/>
  </r>
  <r>
    <s v="SKIN CLEANSING"/>
    <x v="35"/>
    <x v="79"/>
    <x v="311"/>
    <x v="309"/>
    <n v="7.0000000000000007E-2"/>
    <n v="3"/>
    <x v="29"/>
    <n v="70"/>
    <n v="70"/>
    <n v="186"/>
    <n v="210"/>
    <n v="210"/>
  </r>
  <r>
    <s v="SKIN CLEANSING"/>
    <x v="35"/>
    <x v="80"/>
    <x v="312"/>
    <x v="310"/>
    <n v="0.12"/>
    <n v="1"/>
    <x v="215"/>
    <n v="125"/>
    <n v="130"/>
    <n v="116.17"/>
    <n v="125"/>
    <n v="130"/>
  </r>
  <r>
    <s v="SKIN CLEANSING"/>
    <x v="35"/>
    <x v="80"/>
    <x v="313"/>
    <x v="311"/>
    <n v="0.17"/>
    <n v="1"/>
    <x v="216"/>
    <n v="175"/>
    <n v="180"/>
    <n v="163.75"/>
    <n v="175"/>
    <n v="180"/>
  </r>
  <r>
    <s v="SKIN CLEANSING"/>
    <x v="35"/>
    <x v="80"/>
    <x v="314"/>
    <x v="312"/>
    <n v="0.05"/>
    <n v="2"/>
    <x v="155"/>
    <n v="70"/>
    <n v="70"/>
    <n v="132"/>
    <n v="140"/>
    <n v="140"/>
  </r>
  <r>
    <s v="HAIR CARE"/>
    <x v="38"/>
    <x v="81"/>
    <x v="315"/>
    <x v="313"/>
    <n v="0"/>
    <n v="4"/>
    <x v="217"/>
    <n v="140"/>
    <n v="150"/>
    <n v="496"/>
    <n v="560"/>
    <n v="600"/>
  </r>
  <r>
    <s v="HAIR CARE"/>
    <x v="38"/>
    <x v="81"/>
    <x v="316"/>
    <x v="314"/>
    <n v="0"/>
    <n v="5"/>
    <x v="0"/>
    <n v="140"/>
    <n v="150"/>
    <n v="575"/>
    <n v="700"/>
    <n v="750"/>
  </r>
  <r>
    <s v="HAIR CARE"/>
    <x v="38"/>
    <x v="81"/>
    <x v="317"/>
    <x v="315"/>
    <n v="0"/>
    <n v="3"/>
    <x v="218"/>
    <n v="90"/>
    <n v="90"/>
    <n v="216"/>
    <n v="270"/>
    <n v="270"/>
  </r>
  <r>
    <s v="HAIR CARE"/>
    <x v="39"/>
    <x v="82"/>
    <x v="318"/>
    <x v="316"/>
    <n v="0.36"/>
    <n v="1"/>
    <x v="219"/>
    <n v="860"/>
    <n v="910"/>
    <n v="782.2"/>
    <n v="860"/>
    <n v="910"/>
  </r>
  <r>
    <s v="HAIR CARE"/>
    <x v="39"/>
    <x v="82"/>
    <x v="319"/>
    <x v="317"/>
    <n v="0.36"/>
    <n v="1"/>
    <x v="219"/>
    <n v="860"/>
    <n v="910"/>
    <n v="782.2"/>
    <n v="860"/>
    <n v="910"/>
  </r>
  <r>
    <s v="HAIR CARE"/>
    <x v="40"/>
    <x v="83"/>
    <x v="320"/>
    <x v="318"/>
    <n v="0"/>
    <n v="10"/>
    <x v="75"/>
    <n v="270"/>
    <n v="300"/>
    <n v="2300"/>
    <n v="2700"/>
    <n v="3000"/>
  </r>
  <r>
    <s v="HAIR CARE"/>
    <x v="40"/>
    <x v="83"/>
    <x v="321"/>
    <x v="319"/>
    <n v="0"/>
    <n v="1"/>
    <x v="75"/>
    <n v="270"/>
    <n v="300"/>
    <n v="230"/>
    <n v="270"/>
    <n v="300"/>
  </r>
  <r>
    <s v="HAIR CARE"/>
    <x v="40"/>
    <x v="83"/>
    <x v="322"/>
    <x v="320"/>
    <n v="0"/>
    <n v="1"/>
    <x v="75"/>
    <n v="270"/>
    <n v="300"/>
    <n v="230"/>
    <n v="270"/>
    <n v="300"/>
  </r>
  <r>
    <s v="HAIR CARE"/>
    <x v="40"/>
    <x v="83"/>
    <x v="323"/>
    <x v="321"/>
    <n v="0"/>
    <n v="2"/>
    <x v="75"/>
    <n v="270"/>
    <n v="300"/>
    <n v="460"/>
    <n v="540"/>
    <n v="600"/>
  </r>
  <r>
    <s v="HAIR CARE"/>
    <x v="40"/>
    <x v="83"/>
    <x v="324"/>
    <x v="322"/>
    <n v="0"/>
    <n v="1"/>
    <x v="220"/>
    <n v="270"/>
    <n v="300"/>
    <n v="234"/>
    <n v="270"/>
    <n v="300"/>
  </r>
  <r>
    <s v="HAIR CARE"/>
    <x v="40"/>
    <x v="83"/>
    <x v="325"/>
    <x v="323"/>
    <n v="0"/>
    <n v="3"/>
    <x v="221"/>
    <n v="270"/>
    <n v="300"/>
    <n v="675"/>
    <n v="810"/>
    <n v="900"/>
  </r>
  <r>
    <s v="HAIR CARE"/>
    <x v="40"/>
    <x v="83"/>
    <x v="326"/>
    <x v="324"/>
    <n v="0"/>
    <n v="1"/>
    <x v="221"/>
    <n v="270"/>
    <n v="300"/>
    <n v="225"/>
    <n v="270"/>
    <n v="300"/>
  </r>
  <r>
    <s v="OTHERS"/>
    <x v="34"/>
    <x v="72"/>
    <x v="327"/>
    <x v="325"/>
    <n v="0"/>
    <n v="6"/>
    <x v="222"/>
    <n v="200"/>
    <n v="200"/>
    <n v="996"/>
    <n v="1200"/>
    <n v="1200"/>
  </r>
  <r>
    <s v="SKIN CLEANSING"/>
    <x v="35"/>
    <x v="80"/>
    <x v="328"/>
    <x v="326"/>
    <n v="0.13"/>
    <n v="1"/>
    <x v="223"/>
    <n v="420"/>
    <n v="420"/>
    <n v="404"/>
    <n v="420"/>
    <n v="420"/>
  </r>
  <r>
    <s v="DYPERS"/>
    <x v="33"/>
    <x v="69"/>
    <x v="329"/>
    <x v="327"/>
    <n v="0"/>
    <n v="4"/>
    <x v="224"/>
    <n v="280"/>
    <n v="280"/>
    <n v="968"/>
    <n v="1120"/>
    <n v="1120"/>
  </r>
  <r>
    <s v="LAUNDRY"/>
    <x v="34"/>
    <x v="84"/>
    <x v="330"/>
    <x v="328"/>
    <n v="0.5"/>
    <n v="7"/>
    <x v="225"/>
    <n v="290"/>
    <n v="290"/>
    <n v="1895.81"/>
    <n v="2030"/>
    <n v="2030"/>
  </r>
  <r>
    <s v="DYPERS"/>
    <x v="34"/>
    <x v="68"/>
    <x v="331"/>
    <x v="329"/>
    <n v="0"/>
    <n v="6"/>
    <x v="21"/>
    <n v="180"/>
    <n v="180"/>
    <n v="780"/>
    <n v="1080"/>
    <n v="1080"/>
  </r>
  <r>
    <s v="OTHERS"/>
    <x v="9"/>
    <x v="29"/>
    <x v="332"/>
    <x v="330"/>
    <n v="3"/>
    <n v="4"/>
    <x v="102"/>
    <n v="250"/>
    <n v="250"/>
    <n v="1160"/>
    <n v="1000"/>
    <n v="1000"/>
  </r>
  <r>
    <s v="DYPERS"/>
    <x v="33"/>
    <x v="69"/>
    <x v="333"/>
    <x v="331"/>
    <n v="0"/>
    <n v="7"/>
    <x v="226"/>
    <n v="280"/>
    <n v="300"/>
    <n v="1666"/>
    <n v="1960"/>
    <n v="2100"/>
  </r>
  <r>
    <s v="DYPERS"/>
    <x v="33"/>
    <x v="69"/>
    <x v="334"/>
    <x v="332"/>
    <n v="0"/>
    <n v="9"/>
    <x v="227"/>
    <n v="550"/>
    <n v="550"/>
    <n v="4365"/>
    <n v="4950"/>
    <n v="4950"/>
  </r>
  <r>
    <s v="DYPERS"/>
    <x v="32"/>
    <x v="68"/>
    <x v="335"/>
    <x v="333"/>
    <n v="0"/>
    <n v="1"/>
    <x v="228"/>
    <n v="180"/>
    <n v="180"/>
    <n v="121"/>
    <n v="180"/>
    <n v="180"/>
  </r>
  <r>
    <s v="DYPERS"/>
    <x v="33"/>
    <x v="69"/>
    <x v="336"/>
    <x v="334"/>
    <n v="0"/>
    <n v="4"/>
    <x v="122"/>
    <n v="280"/>
    <n v="300"/>
    <n v="1080"/>
    <n v="1120"/>
    <n v="1200"/>
  </r>
  <r>
    <s v="SKIN CLEANSING"/>
    <x v="35"/>
    <x v="80"/>
    <x v="337"/>
    <x v="335"/>
    <n v="0.13"/>
    <n v="1"/>
    <x v="229"/>
    <n v="150"/>
    <n v="150"/>
    <n v="140.5"/>
    <n v="150"/>
    <n v="150"/>
  </r>
  <r>
    <s v="SKIN CLEANSING"/>
    <x v="35"/>
    <x v="80"/>
    <x v="338"/>
    <x v="336"/>
    <n v="0.17"/>
    <n v="3"/>
    <x v="230"/>
    <n v="175"/>
    <n v="180"/>
    <n v="490.89"/>
    <n v="525"/>
    <n v="540"/>
  </r>
  <r>
    <s v="SKIN CLEANSING"/>
    <x v="35"/>
    <x v="80"/>
    <x v="339"/>
    <x v="337"/>
    <n v="0.13"/>
    <n v="2"/>
    <x v="231"/>
    <n v="150"/>
    <n v="150"/>
    <n v="268"/>
    <n v="300"/>
    <n v="300"/>
  </r>
  <r>
    <s v="FOODS"/>
    <x v="35"/>
    <x v="34"/>
    <x v="340"/>
    <x v="338"/>
    <n v="0.18"/>
    <n v="1"/>
    <x v="232"/>
    <n v="190"/>
    <n v="190"/>
    <n v="172"/>
    <n v="190"/>
    <n v="190"/>
  </r>
  <r>
    <s v="FOODS"/>
    <x v="35"/>
    <x v="34"/>
    <x v="341"/>
    <x v="339"/>
    <n v="3.1E-2"/>
    <n v="11"/>
    <x v="233"/>
    <n v="35"/>
    <n v="35"/>
    <n v="353.87"/>
    <n v="385"/>
    <n v="385"/>
  </r>
  <r>
    <s v="FOODS"/>
    <x v="35"/>
    <x v="34"/>
    <x v="342"/>
    <x v="340"/>
    <n v="4.4999999999999998E-2"/>
    <n v="7"/>
    <x v="234"/>
    <n v="50"/>
    <n v="50"/>
    <n v="323.47000000000003"/>
    <n v="350"/>
    <n v="350"/>
  </r>
  <r>
    <s v="LAUNDRY"/>
    <x v="35"/>
    <x v="85"/>
    <x v="343"/>
    <x v="341"/>
    <n v="0.5"/>
    <n v="1"/>
    <x v="235"/>
    <n v="195"/>
    <n v="200"/>
    <n v="174"/>
    <n v="195"/>
    <n v="200"/>
  </r>
  <r>
    <s v="LAUNDRY"/>
    <x v="35"/>
    <x v="86"/>
    <x v="344"/>
    <x v="342"/>
    <n v="0.39"/>
    <n v="3"/>
    <x v="236"/>
    <n v="100"/>
    <n v="100"/>
    <n v="278.61"/>
    <n v="300"/>
    <n v="300"/>
  </r>
  <r>
    <s v="LAUNDRY"/>
    <x v="35"/>
    <x v="86"/>
    <x v="345"/>
    <x v="343"/>
    <n v="1"/>
    <n v="5"/>
    <x v="237"/>
    <n v="270"/>
    <n v="270"/>
    <n v="1270.5999999999999"/>
    <n v="1350"/>
    <n v="1350"/>
  </r>
  <r>
    <s v="LAUNDRY"/>
    <x v="35"/>
    <x v="86"/>
    <x v="346"/>
    <x v="344"/>
    <n v="2.5000000000000001E-2"/>
    <n v="4"/>
    <x v="238"/>
    <n v="10"/>
    <n v="10"/>
    <n v="36"/>
    <n v="40"/>
    <n v="40"/>
  </r>
  <r>
    <s v="LAUNDRY"/>
    <x v="35"/>
    <x v="86"/>
    <x v="347"/>
    <x v="345"/>
    <n v="0.185"/>
    <n v="8"/>
    <x v="239"/>
    <n v="50"/>
    <n v="50"/>
    <n v="376"/>
    <n v="400"/>
    <n v="400"/>
  </r>
  <r>
    <s v="HAIR CARE"/>
    <x v="35"/>
    <x v="87"/>
    <x v="348"/>
    <x v="346"/>
    <n v="0.37"/>
    <n v="1"/>
    <x v="240"/>
    <n v="730"/>
    <n v="750"/>
    <n v="639"/>
    <n v="730"/>
    <n v="750"/>
  </r>
  <r>
    <s v="HAIR CARE"/>
    <x v="35"/>
    <x v="87"/>
    <x v="349"/>
    <x v="347"/>
    <n v="0.18"/>
    <n v="1"/>
    <x v="241"/>
    <n v="470"/>
    <n v="480"/>
    <n v="430.5"/>
    <n v="470"/>
    <n v="480"/>
  </r>
  <r>
    <s v="HAIR CARE"/>
    <x v="35"/>
    <x v="87"/>
    <x v="350"/>
    <x v="348"/>
    <n v="0.66"/>
    <n v="2"/>
    <x v="242"/>
    <n v="1250"/>
    <n v="1300"/>
    <n v="2063"/>
    <n v="2500"/>
    <n v="2600"/>
  </r>
  <r>
    <s v="HAIR CARE"/>
    <x v="35"/>
    <x v="87"/>
    <x v="351"/>
    <x v="349"/>
    <n v="0.185"/>
    <n v="2"/>
    <x v="243"/>
    <n v="440"/>
    <n v="450"/>
    <n v="766.66"/>
    <n v="880"/>
    <n v="900"/>
  </r>
  <r>
    <s v="LAUNDRY"/>
    <x v="35"/>
    <x v="88"/>
    <x v="352"/>
    <x v="350"/>
    <n v="1"/>
    <n v="2"/>
    <x v="244"/>
    <n v="390"/>
    <n v="400"/>
    <n v="697"/>
    <n v="780"/>
    <n v="800"/>
  </r>
  <r>
    <s v="PP"/>
    <x v="24"/>
    <x v="89"/>
    <x v="353"/>
    <x v="351"/>
    <n v="0"/>
    <n v="2"/>
    <x v="5"/>
    <n v="230"/>
    <n v="250"/>
    <n v="400"/>
    <n v="460"/>
    <n v="500"/>
  </r>
  <r>
    <s v="PP"/>
    <x v="24"/>
    <x v="89"/>
    <x v="354"/>
    <x v="352"/>
    <n v="0"/>
    <n v="2"/>
    <x v="245"/>
    <n v="750"/>
    <n v="750"/>
    <n v="1360"/>
    <n v="1500"/>
    <n v="1500"/>
  </r>
  <r>
    <s v="PP"/>
    <x v="24"/>
    <x v="90"/>
    <x v="355"/>
    <x v="353"/>
    <n v="0"/>
    <n v="1"/>
    <x v="246"/>
    <n v="220"/>
    <n v="230"/>
    <n v="188"/>
    <n v="220"/>
    <n v="230"/>
  </r>
  <r>
    <s v="PP"/>
    <x v="24"/>
    <x v="90"/>
    <x v="356"/>
    <x v="354"/>
    <n v="0"/>
    <n v="5"/>
    <x v="50"/>
    <n v="90"/>
    <n v="100"/>
    <n v="325"/>
    <n v="450"/>
    <n v="500"/>
  </r>
  <r>
    <s v="PP"/>
    <x v="24"/>
    <x v="91"/>
    <x v="357"/>
    <x v="355"/>
    <n v="0"/>
    <n v="1"/>
    <x v="247"/>
    <n v="260"/>
    <n v="275"/>
    <n v="227"/>
    <n v="260"/>
    <n v="275"/>
  </r>
  <r>
    <s v="OTHERS"/>
    <x v="1"/>
    <x v="92"/>
    <x v="358"/>
    <x v="356"/>
    <n v="7.4999999999999997E-2"/>
    <n v="1"/>
    <x v="248"/>
    <n v="280"/>
    <n v="300"/>
    <n v="212.5"/>
    <n v="280"/>
    <n v="300"/>
  </r>
  <r>
    <s v="PP"/>
    <x v="1"/>
    <x v="93"/>
    <x v="359"/>
    <x v="357"/>
    <n v="0.13"/>
    <n v="2"/>
    <x v="249"/>
    <n v="150"/>
    <n v="150"/>
    <n v="265"/>
    <n v="300"/>
    <n v="300"/>
  </r>
  <r>
    <s v="OTHERS"/>
    <x v="41"/>
    <x v="94"/>
    <x v="360"/>
    <x v="358"/>
    <n v="0"/>
    <n v="50"/>
    <x v="250"/>
    <n v="45"/>
    <n v="45"/>
    <n v="1960.0000000000002"/>
    <n v="2250"/>
    <n v="2250"/>
  </r>
  <r>
    <s v="HOME CARE"/>
    <x v="42"/>
    <x v="95"/>
    <x v="361"/>
    <x v="58"/>
    <n v="0"/>
    <n v="8"/>
    <x v="36"/>
    <n v="60"/>
    <n v="60"/>
    <n v="360"/>
    <n v="480"/>
    <n v="480"/>
  </r>
  <r>
    <s v="LAUNDRY"/>
    <x v="35"/>
    <x v="88"/>
    <x v="362"/>
    <x v="359"/>
    <n v="2"/>
    <n v="4"/>
    <x v="251"/>
    <n v="1000"/>
    <n v="1100"/>
    <n v="3756"/>
    <n v="4000"/>
    <n v="4400"/>
  </r>
  <r>
    <s v="LAUNDRY"/>
    <x v="35"/>
    <x v="88"/>
    <x v="363"/>
    <x v="360"/>
    <n v="1"/>
    <n v="2"/>
    <x v="252"/>
    <n v="540"/>
    <n v="550"/>
    <n v="987.66"/>
    <n v="1080"/>
    <n v="1100"/>
  </r>
  <r>
    <s v="LAUNDRY"/>
    <x v="35"/>
    <x v="88"/>
    <x v="364"/>
    <x v="361"/>
    <n v="1.7999999999999999E-2"/>
    <n v="8"/>
    <x v="253"/>
    <n v="10"/>
    <n v="10"/>
    <n v="71.56"/>
    <n v="80"/>
    <n v="80"/>
  </r>
  <r>
    <s v="LAUNDRY"/>
    <x v="35"/>
    <x v="88"/>
    <x v="365"/>
    <x v="362"/>
    <n v="0.105"/>
    <n v="5"/>
    <x v="254"/>
    <n v="50"/>
    <n v="50"/>
    <n v="217.5"/>
    <n v="250"/>
    <n v="250"/>
  </r>
  <r>
    <s v="GROCERY"/>
    <x v="0"/>
    <x v="10"/>
    <x v="366"/>
    <x v="363"/>
    <n v="1"/>
    <n v="19"/>
    <x v="255"/>
    <n v="150"/>
    <n v="160"/>
    <n v="2698"/>
    <n v="2850"/>
    <n v="3040"/>
  </r>
  <r>
    <s v="ORAL CARE"/>
    <x v="43"/>
    <x v="96"/>
    <x v="367"/>
    <x v="364"/>
    <n v="0"/>
    <n v="7"/>
    <x v="256"/>
    <n v="60"/>
    <n v="60"/>
    <n v="291.62"/>
    <n v="420"/>
    <n v="420"/>
  </r>
  <r>
    <s v="ORAL CARE"/>
    <x v="43"/>
    <x v="96"/>
    <x v="368"/>
    <x v="365"/>
    <n v="0"/>
    <n v="6"/>
    <x v="257"/>
    <n v="30"/>
    <n v="30"/>
    <n v="124.99980000000001"/>
    <n v="180"/>
    <n v="180"/>
  </r>
  <r>
    <s v="LAUNDRY"/>
    <x v="44"/>
    <x v="97"/>
    <x v="369"/>
    <x v="366"/>
    <n v="1"/>
    <n v="2"/>
    <x v="258"/>
    <n v="225"/>
    <n v="230"/>
    <n v="394.3"/>
    <n v="450"/>
    <n v="460"/>
  </r>
  <r>
    <s v="LAUNDRY"/>
    <x v="44"/>
    <x v="98"/>
    <x v="370"/>
    <x v="367"/>
    <n v="1"/>
    <n v="4"/>
    <x v="66"/>
    <n v="590"/>
    <n v="600"/>
    <n v="2200"/>
    <n v="2360"/>
    <n v="2400"/>
  </r>
  <r>
    <s v="LAUNDRY"/>
    <x v="44"/>
    <x v="98"/>
    <x v="371"/>
    <x v="368"/>
    <n v="0.5"/>
    <n v="3"/>
    <x v="7"/>
    <n v="270"/>
    <n v="275"/>
    <n v="750"/>
    <n v="810"/>
    <n v="825"/>
  </r>
  <r>
    <s v="LAUNDRY"/>
    <x v="44"/>
    <x v="98"/>
    <x v="372"/>
    <x v="369"/>
    <n v="0.105"/>
    <n v="19"/>
    <x v="259"/>
    <n v="50"/>
    <n v="50"/>
    <n v="869.82"/>
    <n v="950"/>
    <n v="950"/>
  </r>
  <r>
    <s v="LAUNDRY"/>
    <x v="44"/>
    <x v="98"/>
    <x v="373"/>
    <x v="370"/>
    <n v="0.04"/>
    <n v="17"/>
    <x v="260"/>
    <n v="20"/>
    <n v="20"/>
    <n v="311.27"/>
    <n v="340"/>
    <n v="340"/>
  </r>
  <r>
    <s v="ORAL CARE"/>
    <x v="44"/>
    <x v="99"/>
    <x v="374"/>
    <x v="371"/>
    <n v="0"/>
    <n v="7"/>
    <x v="261"/>
    <n v="100"/>
    <n v="100"/>
    <n v="493.64"/>
    <n v="700"/>
    <n v="700"/>
  </r>
  <r>
    <s v="ORAL CARE"/>
    <x v="44"/>
    <x v="100"/>
    <x v="375"/>
    <x v="372"/>
    <n v="0.2"/>
    <n v="1"/>
    <x v="262"/>
    <n v="390"/>
    <n v="400"/>
    <n v="359.73"/>
    <n v="390"/>
    <n v="400"/>
  </r>
  <r>
    <s v="ORAL CARE"/>
    <x v="44"/>
    <x v="100"/>
    <x v="376"/>
    <x v="373"/>
    <n v="0.1"/>
    <n v="2"/>
    <x v="263"/>
    <n v="210"/>
    <n v="220"/>
    <n v="398.92"/>
    <n v="420"/>
    <n v="440"/>
  </r>
  <r>
    <s v="ORAL CARE"/>
    <x v="44"/>
    <x v="100"/>
    <x v="377"/>
    <x v="374"/>
    <n v="7.0000000000000007E-2"/>
    <n v="4"/>
    <x v="264"/>
    <n v="100"/>
    <n v="100"/>
    <n v="356.64"/>
    <n v="400"/>
    <n v="400"/>
  </r>
  <r>
    <s v="ORAL CARE"/>
    <x v="44"/>
    <x v="100"/>
    <x v="378"/>
    <x v="375"/>
    <n v="0"/>
    <n v="3"/>
    <x v="265"/>
    <n v="210"/>
    <n v="220"/>
    <n v="595.91999999999996"/>
    <n v="630"/>
    <n v="660"/>
  </r>
  <r>
    <s v="ORAL CARE"/>
    <x v="44"/>
    <x v="100"/>
    <x v="379"/>
    <x v="376"/>
    <n v="0"/>
    <n v="3"/>
    <x v="266"/>
    <n v="210"/>
    <n v="220"/>
    <n v="601.04999999999995"/>
    <n v="630"/>
    <n v="660"/>
  </r>
  <r>
    <s v="ORAL CARE"/>
    <x v="44"/>
    <x v="100"/>
    <x v="380"/>
    <x v="377"/>
    <n v="0"/>
    <n v="1"/>
    <x v="267"/>
    <n v="315"/>
    <n v="325"/>
    <n v="293.64"/>
    <n v="315"/>
    <n v="325"/>
  </r>
  <r>
    <s v="ORAL CARE"/>
    <x v="44"/>
    <x v="100"/>
    <x v="381"/>
    <x v="378"/>
    <n v="0.2"/>
    <n v="3"/>
    <x v="268"/>
    <n v="240"/>
    <n v="250"/>
    <n v="672.18000000000006"/>
    <n v="720"/>
    <n v="750"/>
  </r>
  <r>
    <s v="ORAL CARE"/>
    <x v="44"/>
    <x v="100"/>
    <x v="382"/>
    <x v="379"/>
    <n v="7.4999999999999997E-2"/>
    <n v="2"/>
    <x v="269"/>
    <n v="180"/>
    <n v="190"/>
    <n v="342.92"/>
    <n v="360"/>
    <n v="380"/>
  </r>
  <r>
    <s v="ORAL CARE"/>
    <x v="44"/>
    <x v="100"/>
    <x v="383"/>
    <x v="380"/>
    <n v="0.15"/>
    <n v="3"/>
    <x v="270"/>
    <n v="310"/>
    <n v="320"/>
    <n v="849.27"/>
    <n v="930"/>
    <n v="960"/>
  </r>
  <r>
    <s v="ORAL CARE"/>
    <x v="44"/>
    <x v="100"/>
    <x v="384"/>
    <x v="381"/>
    <n v="3.5000000000000003E-2"/>
    <n v="1"/>
    <x v="271"/>
    <n v="50"/>
    <n v="50"/>
    <n v="45.5"/>
    <n v="50"/>
    <n v="50"/>
  </r>
  <r>
    <s v="ORAL CARE"/>
    <x v="44"/>
    <x v="100"/>
    <x v="385"/>
    <x v="382"/>
    <n v="0"/>
    <n v="5"/>
    <x v="272"/>
    <n v="70"/>
    <n v="70"/>
    <n v="304.75"/>
    <n v="350"/>
    <n v="350"/>
  </r>
  <r>
    <s v="ORAL CARE"/>
    <x v="44"/>
    <x v="100"/>
    <x v="386"/>
    <x v="383"/>
    <n v="0.13"/>
    <n v="4"/>
    <x v="273"/>
    <n v="175"/>
    <n v="180"/>
    <n v="641.73199999999997"/>
    <n v="700"/>
    <n v="720"/>
  </r>
  <r>
    <s v="ORAL CARE"/>
    <x v="44"/>
    <x v="100"/>
    <x v="387"/>
    <x v="384"/>
    <n v="5.5E-2"/>
    <n v="7"/>
    <x v="274"/>
    <n v="100"/>
    <n v="100"/>
    <n v="629.30000000000007"/>
    <n v="700"/>
    <n v="700"/>
  </r>
  <r>
    <s v="ORAL CARE"/>
    <x v="44"/>
    <x v="100"/>
    <x v="388"/>
    <x v="385"/>
    <n v="7.4999999999999997E-2"/>
    <n v="9"/>
    <x v="275"/>
    <n v="75"/>
    <n v="75"/>
    <n v="582.66"/>
    <n v="675"/>
    <n v="675"/>
  </r>
  <r>
    <s v="LAUNDRY"/>
    <x v="44"/>
    <x v="101"/>
    <x v="389"/>
    <x v="386"/>
    <n v="0.5"/>
    <n v="1"/>
    <x v="276"/>
    <n v="210"/>
    <n v="215"/>
    <n v="196"/>
    <n v="210"/>
    <n v="215"/>
  </r>
  <r>
    <s v="LAUNDRY"/>
    <x v="44"/>
    <x v="101"/>
    <x v="390"/>
    <x v="387"/>
    <n v="1"/>
    <n v="5"/>
    <x v="277"/>
    <n v="390"/>
    <n v="400"/>
    <n v="1797.8999999999999"/>
    <n v="1950"/>
    <n v="2000"/>
  </r>
  <r>
    <s v="HOME CARE"/>
    <x v="44"/>
    <x v="102"/>
    <x v="391"/>
    <x v="388"/>
    <n v="0"/>
    <n v="5"/>
    <x v="50"/>
    <n v="70"/>
    <n v="70"/>
    <n v="325"/>
    <n v="350"/>
    <n v="350"/>
  </r>
  <r>
    <s v="HOME CARE"/>
    <x v="44"/>
    <x v="102"/>
    <x v="392"/>
    <x v="389"/>
    <n v="0.09"/>
    <n v="12"/>
    <x v="278"/>
    <n v="30"/>
    <n v="30"/>
    <n v="338.64"/>
    <n v="360"/>
    <n v="360"/>
  </r>
  <r>
    <s v="HOME CARE"/>
    <x v="44"/>
    <x v="102"/>
    <x v="393"/>
    <x v="390"/>
    <n v="0.26500000000000001"/>
    <n v="8"/>
    <x v="10"/>
    <n v="80"/>
    <n v="80"/>
    <n v="600"/>
    <n v="640"/>
    <n v="640"/>
  </r>
  <r>
    <s v="HOME CARE"/>
    <x v="44"/>
    <x v="102"/>
    <x v="394"/>
    <x v="391"/>
    <n v="0.28999999999999998"/>
    <n v="17"/>
    <x v="279"/>
    <n v="90"/>
    <n v="90"/>
    <n v="1433.1"/>
    <n v="1530"/>
    <n v="1530"/>
  </r>
  <r>
    <s v="HOME CARE"/>
    <x v="44"/>
    <x v="102"/>
    <x v="395"/>
    <x v="392"/>
    <n v="0.16500000000000001"/>
    <n v="26"/>
    <x v="43"/>
    <n v="50"/>
    <n v="50"/>
    <n v="1248"/>
    <n v="1300"/>
    <n v="1300"/>
  </r>
  <r>
    <s v="ORAL CARE"/>
    <x v="45"/>
    <x v="103"/>
    <x v="396"/>
    <x v="393"/>
    <n v="0.09"/>
    <n v="2"/>
    <x v="20"/>
    <n v="280"/>
    <n v="285"/>
    <n v="480"/>
    <n v="560"/>
    <n v="570"/>
  </r>
  <r>
    <s v="ORAL CARE"/>
    <x v="45"/>
    <x v="103"/>
    <x v="397"/>
    <x v="394"/>
    <n v="0.14000000000000001"/>
    <n v="1"/>
    <x v="87"/>
    <n v="300"/>
    <n v="310"/>
    <n v="260"/>
    <n v="300"/>
    <n v="310"/>
  </r>
  <r>
    <s v="ORAL CARE"/>
    <x v="46"/>
    <x v="104"/>
    <x v="398"/>
    <x v="395"/>
    <n v="6.5000000000000002E-2"/>
    <n v="5"/>
    <x v="40"/>
    <n v="190"/>
    <n v="200"/>
    <n v="800"/>
    <n v="950"/>
    <n v="1000"/>
  </r>
  <r>
    <s v="HOME CARE"/>
    <x v="44"/>
    <x v="102"/>
    <x v="399"/>
    <x v="396"/>
    <n v="0.2"/>
    <n v="3"/>
    <x v="280"/>
    <n v="150"/>
    <n v="150"/>
    <n v="402.29999999999995"/>
    <n v="450"/>
    <n v="450"/>
  </r>
  <r>
    <s v="HOME CARE"/>
    <x v="44"/>
    <x v="102"/>
    <x v="400"/>
    <x v="397"/>
    <n v="0.17"/>
    <n v="1"/>
    <x v="184"/>
    <n v="115"/>
    <n v="115"/>
    <n v="105"/>
    <n v="115"/>
    <n v="115"/>
  </r>
  <r>
    <s v="SKIN CLEANSING"/>
    <x v="44"/>
    <x v="105"/>
    <x v="401"/>
    <x v="398"/>
    <n v="0.13"/>
    <n v="1"/>
    <x v="281"/>
    <n v="145"/>
    <n v="148"/>
    <n v="135.61000000000001"/>
    <n v="145"/>
    <n v="148"/>
  </r>
  <r>
    <s v="SKIN CLEANSING"/>
    <x v="44"/>
    <x v="105"/>
    <x v="402"/>
    <x v="399"/>
    <n v="0.13"/>
    <n v="4"/>
    <x v="282"/>
    <n v="145"/>
    <n v="148"/>
    <n v="537.79999999999995"/>
    <n v="580"/>
    <n v="592"/>
  </r>
  <r>
    <s v="SKIN CLEANSING"/>
    <x v="44"/>
    <x v="105"/>
    <x v="403"/>
    <x v="400"/>
    <n v="0.13"/>
    <n v="4"/>
    <x v="283"/>
    <n v="145"/>
    <n v="148"/>
    <n v="537.76"/>
    <n v="580"/>
    <n v="592"/>
  </r>
  <r>
    <s v="SKIN CLEANSING"/>
    <x v="44"/>
    <x v="105"/>
    <x v="404"/>
    <x v="401"/>
    <n v="9.8000000000000004E-2"/>
    <n v="1"/>
    <x v="284"/>
    <n v="115"/>
    <n v="118"/>
    <n v="110.95"/>
    <n v="115"/>
    <n v="118"/>
  </r>
  <r>
    <s v="SKIN CLEANSING"/>
    <x v="44"/>
    <x v="105"/>
    <x v="405"/>
    <x v="402"/>
    <n v="0.13"/>
    <n v="4"/>
    <x v="285"/>
    <n v="145"/>
    <n v="148"/>
    <n v="511.6"/>
    <n v="580"/>
    <n v="592"/>
  </r>
  <r>
    <s v="SKIN CLEANSING"/>
    <x v="44"/>
    <x v="105"/>
    <x v="406"/>
    <x v="398"/>
    <n v="0"/>
    <n v="13"/>
    <x v="285"/>
    <n v="145"/>
    <n v="148"/>
    <n v="1662.7"/>
    <n v="1885"/>
    <n v="1924"/>
  </r>
  <r>
    <s v="SKIN CLEANSING"/>
    <x v="44"/>
    <x v="105"/>
    <x v="407"/>
    <x v="403"/>
    <n v="0.375"/>
    <n v="2"/>
    <x v="100"/>
    <n v="420"/>
    <n v="425"/>
    <n v="800"/>
    <n v="840"/>
    <n v="850"/>
  </r>
  <r>
    <s v="HAIR CARE"/>
    <x v="44"/>
    <x v="106"/>
    <x v="408"/>
    <x v="404"/>
    <n v="0"/>
    <n v="2"/>
    <x v="286"/>
    <n v="360"/>
    <n v="370"/>
    <n v="617.08000000000004"/>
    <n v="720"/>
    <n v="740"/>
  </r>
  <r>
    <s v="ORAL CARE"/>
    <x v="47"/>
    <x v="99"/>
    <x v="409"/>
    <x v="24"/>
    <n v="0"/>
    <n v="3"/>
    <x v="22"/>
    <n v="240"/>
    <n v="250"/>
    <n v="630"/>
    <n v="720"/>
    <n v="750"/>
  </r>
  <r>
    <s v="ORAL CARE"/>
    <x v="47"/>
    <x v="99"/>
    <x v="410"/>
    <x v="405"/>
    <n v="0"/>
    <n v="4"/>
    <x v="287"/>
    <n v="80"/>
    <n v="80"/>
    <n v="255.2"/>
    <n v="320"/>
    <n v="320"/>
  </r>
  <r>
    <s v="ORAL CARE"/>
    <x v="47"/>
    <x v="107"/>
    <x v="411"/>
    <x v="406"/>
    <n v="4.4999999999999998E-2"/>
    <n v="2"/>
    <x v="87"/>
    <n v="290"/>
    <n v="290"/>
    <n v="520"/>
    <n v="580"/>
    <n v="580"/>
  </r>
  <r>
    <s v="ORAL CARE"/>
    <x v="48"/>
    <x v="107"/>
    <x v="412"/>
    <x v="407"/>
    <n v="0"/>
    <n v="2"/>
    <x v="288"/>
    <n v="320"/>
    <n v="320"/>
    <n v="560"/>
    <n v="640"/>
    <n v="640"/>
  </r>
  <r>
    <s v="MILK"/>
    <x v="49"/>
    <x v="108"/>
    <x v="413"/>
    <x v="408"/>
    <n v="0.5"/>
    <n v="1"/>
    <x v="289"/>
    <n v="200"/>
    <n v="200"/>
    <n v="179.4"/>
    <n v="200"/>
    <n v="200"/>
  </r>
  <r>
    <s v="MILK"/>
    <x v="49"/>
    <x v="108"/>
    <x v="414"/>
    <x v="409"/>
    <n v="0.25"/>
    <n v="2"/>
    <x v="290"/>
    <n v="95"/>
    <n v="100"/>
    <n v="179.5"/>
    <n v="190"/>
    <n v="200"/>
  </r>
  <r>
    <s v="BEVERAGES"/>
    <x v="49"/>
    <x v="109"/>
    <x v="415"/>
    <x v="410"/>
    <n v="0.125"/>
    <n v="5"/>
    <x v="291"/>
    <n v="100"/>
    <n v="100"/>
    <n v="444.6"/>
    <n v="500"/>
    <n v="500"/>
  </r>
  <r>
    <s v="BEVERAGES"/>
    <x v="49"/>
    <x v="109"/>
    <x v="416"/>
    <x v="411"/>
    <n v="0"/>
    <n v="6"/>
    <x v="292"/>
    <n v="25"/>
    <n v="25"/>
    <n v="143.28"/>
    <n v="150"/>
    <n v="150"/>
  </r>
  <r>
    <s v="BEVERAGES"/>
    <x v="50"/>
    <x v="110"/>
    <x v="417"/>
    <x v="412"/>
    <n v="0"/>
    <n v="1"/>
    <x v="50"/>
    <n v="80"/>
    <n v="80"/>
    <n v="65"/>
    <n v="80"/>
    <n v="80"/>
  </r>
  <r>
    <s v="BEVERAGES"/>
    <x v="50"/>
    <x v="110"/>
    <x v="418"/>
    <x v="413"/>
    <n v="0"/>
    <n v="4"/>
    <x v="46"/>
    <n v="220"/>
    <n v="240"/>
    <n v="740"/>
    <n v="880"/>
    <n v="960"/>
  </r>
  <r>
    <s v="BEVERAGES"/>
    <x v="50"/>
    <x v="110"/>
    <x v="419"/>
    <x v="414"/>
    <n v="0"/>
    <n v="7"/>
    <x v="293"/>
    <n v="180"/>
    <n v="200"/>
    <n v="1029"/>
    <n v="1260"/>
    <n v="1400"/>
  </r>
  <r>
    <s v="BEVERAGES"/>
    <x v="50"/>
    <x v="110"/>
    <x v="420"/>
    <x v="415"/>
    <n v="0"/>
    <n v="15"/>
    <x v="125"/>
    <n v="160"/>
    <n v="160"/>
    <n v="1875"/>
    <n v="2400"/>
    <n v="2400"/>
  </r>
  <r>
    <s v="BEVERAGES"/>
    <x v="51"/>
    <x v="111"/>
    <x v="421"/>
    <x v="416"/>
    <n v="8.5000000000000006E-2"/>
    <n v="3"/>
    <x v="294"/>
    <n v="180"/>
    <n v="180"/>
    <n v="498.12900000000002"/>
    <n v="540"/>
    <n v="540"/>
  </r>
  <r>
    <s v="BEVERAGES"/>
    <x v="51"/>
    <x v="111"/>
    <x v="422"/>
    <x v="417"/>
    <n v="0.17"/>
    <n v="5"/>
    <x v="295"/>
    <n v="350"/>
    <n v="360"/>
    <n v="1645.35"/>
    <n v="1750"/>
    <n v="1800"/>
  </r>
  <r>
    <s v="BEVERAGES"/>
    <x v="52"/>
    <x v="112"/>
    <x v="423"/>
    <x v="418"/>
    <n v="0.8"/>
    <n v="1"/>
    <x v="63"/>
    <n v="480"/>
    <n v="550"/>
    <n v="410"/>
    <n v="480"/>
    <n v="550"/>
  </r>
  <r>
    <s v="BEVERAGES"/>
    <x v="52"/>
    <x v="112"/>
    <x v="424"/>
    <x v="419"/>
    <n v="5.0000000000000001E-3"/>
    <n v="17"/>
    <x v="296"/>
    <n v="25"/>
    <n v="25"/>
    <n v="307.02"/>
    <n v="425"/>
    <n v="425"/>
  </r>
  <r>
    <s v="BEVERAGES"/>
    <x v="53"/>
    <x v="113"/>
    <x v="425"/>
    <x v="420"/>
    <n v="0.9"/>
    <n v="1"/>
    <x v="297"/>
    <n v="1700"/>
    <n v="1700"/>
    <n v="1574"/>
    <n v="1700"/>
    <n v="1700"/>
  </r>
  <r>
    <s v="BEVERAGES"/>
    <x v="54"/>
    <x v="114"/>
    <x v="426"/>
    <x v="421"/>
    <n v="8.5000000000000006E-2"/>
    <n v="3"/>
    <x v="298"/>
    <n v="190"/>
    <n v="190"/>
    <n v="499.5"/>
    <n v="570"/>
    <n v="570"/>
  </r>
  <r>
    <s v="BEVERAGES"/>
    <x v="54"/>
    <x v="114"/>
    <x v="427"/>
    <x v="422"/>
    <n v="2.7E-2"/>
    <n v="9"/>
    <x v="299"/>
    <n v="50"/>
    <n v="50"/>
    <n v="415.53000000000003"/>
    <n v="450"/>
    <n v="450"/>
  </r>
  <r>
    <s v="BEVERAGES"/>
    <x v="54"/>
    <x v="114"/>
    <x v="428"/>
    <x v="423"/>
    <n v="1.4E-2"/>
    <n v="7"/>
    <x v="300"/>
    <n v="30"/>
    <n v="30"/>
    <n v="194.04"/>
    <n v="210"/>
    <n v="210"/>
  </r>
  <r>
    <s v="BEVERAGES"/>
    <x v="54"/>
    <x v="114"/>
    <x v="429"/>
    <x v="424"/>
    <n v="0.05"/>
    <n v="9"/>
    <x v="301"/>
    <n v="99"/>
    <n v="99"/>
    <n v="802.80000000000007"/>
    <n v="891"/>
    <n v="891"/>
  </r>
  <r>
    <s v="BEVERAGES"/>
    <x v="54"/>
    <x v="114"/>
    <x v="430"/>
    <x v="425"/>
    <n v="0.35"/>
    <n v="1"/>
    <x v="302"/>
    <n v="700"/>
    <n v="720"/>
    <n v="662.33"/>
    <n v="700"/>
    <n v="720"/>
  </r>
  <r>
    <s v="BEVERAGES"/>
    <x v="54"/>
    <x v="114"/>
    <x v="431"/>
    <x v="426"/>
    <n v="0.17"/>
    <n v="2"/>
    <x v="303"/>
    <n v="370"/>
    <n v="380"/>
    <n v="701.34"/>
    <n v="740"/>
    <n v="760"/>
  </r>
  <r>
    <s v="BEVERAGES"/>
    <x v="54"/>
    <x v="114"/>
    <x v="432"/>
    <x v="427"/>
    <n v="0.06"/>
    <n v="2"/>
    <x v="221"/>
    <n v="250"/>
    <n v="250"/>
    <n v="450"/>
    <n v="500"/>
    <n v="500"/>
  </r>
  <r>
    <s v="BEVERAGES"/>
    <x v="54"/>
    <x v="114"/>
    <x v="433"/>
    <x v="428"/>
    <n v="0.43"/>
    <n v="19"/>
    <x v="304"/>
    <n v="820"/>
    <n v="900"/>
    <n v="14297.5"/>
    <n v="15580"/>
    <n v="17100"/>
  </r>
  <r>
    <s v="SKIN CARE"/>
    <x v="55"/>
    <x v="115"/>
    <x v="434"/>
    <x v="429"/>
    <n v="0.06"/>
    <n v="1"/>
    <x v="27"/>
    <n v="180"/>
    <n v="200"/>
    <n v="120"/>
    <n v="180"/>
    <n v="200"/>
  </r>
  <r>
    <s v="SKIN CARE"/>
    <x v="55"/>
    <x v="116"/>
    <x v="435"/>
    <x v="430"/>
    <n v="0.06"/>
    <n v="1"/>
    <x v="27"/>
    <n v="180"/>
    <n v="200"/>
    <n v="120"/>
    <n v="180"/>
    <n v="200"/>
  </r>
  <r>
    <s v="SKIN CARE"/>
    <x v="23"/>
    <x v="50"/>
    <x v="436"/>
    <x v="431"/>
    <n v="5.7000000000000002E-2"/>
    <n v="1"/>
    <x v="27"/>
    <n v="150"/>
    <n v="170"/>
    <n v="120"/>
    <n v="150"/>
    <n v="170"/>
  </r>
  <r>
    <s v="SKIN CARE"/>
    <x v="23"/>
    <x v="9"/>
    <x v="437"/>
    <x v="197"/>
    <n v="0.1"/>
    <n v="2"/>
    <x v="126"/>
    <n v="250"/>
    <n v="260"/>
    <n v="402"/>
    <n v="500"/>
    <n v="520"/>
  </r>
  <r>
    <s v="SKIN CARE"/>
    <x v="23"/>
    <x v="9"/>
    <x v="438"/>
    <x v="432"/>
    <n v="0.1"/>
    <n v="2"/>
    <x v="126"/>
    <n v="250"/>
    <n v="260"/>
    <n v="402"/>
    <n v="500"/>
    <n v="5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itemPrintTitles="1" createdVersion="5" indent="0" compact="0" compactData="0" multipleFieldFilters="0">
  <location ref="A3:F443" firstHeaderRow="0" firstDataRow="1" firstDataCol="4"/>
  <pivotFields count="13">
    <pivotField compact="0" outline="0" showAll="0" defaultSubtotal="0"/>
    <pivotField axis="axisRow" compact="0" outline="0" showAll="0" defaultSubtotal="0">
      <items count="56">
        <item x="21"/>
        <item x="20"/>
        <item x="23"/>
        <item x="50"/>
        <item x="0"/>
        <item x="44"/>
        <item x="4"/>
        <item x="47"/>
        <item x="46"/>
        <item x="48"/>
        <item x="49"/>
        <item x="14"/>
        <item x="41"/>
        <item x="22"/>
        <item x="42"/>
        <item x="25"/>
        <item x="36"/>
        <item x="5"/>
        <item x="7"/>
        <item x="13"/>
        <item x="37"/>
        <item x="11"/>
        <item x="19"/>
        <item x="17"/>
        <item x="51"/>
        <item x="39"/>
        <item x="45"/>
        <item x="6"/>
        <item x="33"/>
        <item x="29"/>
        <item x="15"/>
        <item x="32"/>
        <item x="40"/>
        <item x="43"/>
        <item x="27"/>
        <item x="9"/>
        <item x="34"/>
        <item x="8"/>
        <item x="26"/>
        <item x="52"/>
        <item x="1"/>
        <item x="3"/>
        <item x="24"/>
        <item x="38"/>
        <item x="30"/>
        <item x="31"/>
        <item x="55"/>
        <item x="28"/>
        <item x="12"/>
        <item x="54"/>
        <item x="2"/>
        <item x="10"/>
        <item x="35"/>
        <item x="53"/>
        <item x="16"/>
        <item x="18"/>
      </items>
    </pivotField>
    <pivotField axis="axisRow" compact="0" outline="0" showAll="0" defaultSubtotal="0">
      <items count="117">
        <item x="13"/>
        <item x="84"/>
        <item x="116"/>
        <item x="64"/>
        <item x="97"/>
        <item x="98"/>
        <item x="99"/>
        <item x="50"/>
        <item x="38"/>
        <item x="60"/>
        <item x="6"/>
        <item x="100"/>
        <item x="4"/>
        <item x="36"/>
        <item x="5"/>
        <item x="20"/>
        <item x="1"/>
        <item x="7"/>
        <item x="93"/>
        <item x="104"/>
        <item x="73"/>
        <item x="107"/>
        <item x="37"/>
        <item x="101"/>
        <item x="51"/>
        <item x="48"/>
        <item x="49"/>
        <item x="15"/>
        <item x="3"/>
        <item x="55"/>
        <item x="47"/>
        <item x="52"/>
        <item x="14"/>
        <item x="25"/>
        <item x="94"/>
        <item x="22"/>
        <item x="112"/>
        <item x="76"/>
        <item x="65"/>
        <item x="74"/>
        <item x="63"/>
        <item x="75"/>
        <item x="42"/>
        <item x="40"/>
        <item x="24"/>
        <item x="102"/>
        <item x="78"/>
        <item x="79"/>
        <item x="82"/>
        <item x="80"/>
        <item x="44"/>
        <item x="26"/>
        <item x="21"/>
        <item x="46"/>
        <item x="103"/>
        <item x="69"/>
        <item x="11"/>
        <item x="59"/>
        <item x="58"/>
        <item x="53"/>
        <item x="34"/>
        <item x="27"/>
        <item x="83"/>
        <item x="108"/>
        <item x="12"/>
        <item x="2"/>
        <item x="105"/>
        <item x="106"/>
        <item x="68"/>
        <item x="70"/>
        <item x="91"/>
        <item x="57"/>
        <item x="110"/>
        <item x="29"/>
        <item x="23"/>
        <item x="89"/>
        <item x="28"/>
        <item x="56"/>
        <item x="72"/>
        <item x="18"/>
        <item x="62"/>
        <item x="0"/>
        <item x="85"/>
        <item x="92"/>
        <item x="54"/>
        <item x="19"/>
        <item x="71"/>
        <item x="81"/>
        <item x="45"/>
        <item x="95"/>
        <item x="67"/>
        <item x="115"/>
        <item x="8"/>
        <item x="9"/>
        <item x="43"/>
        <item x="61"/>
        <item x="66"/>
        <item x="17"/>
        <item x="10"/>
        <item x="32"/>
        <item x="33"/>
        <item x="86"/>
        <item x="87"/>
        <item x="111"/>
        <item x="88"/>
        <item x="109"/>
        <item x="114"/>
        <item x="31"/>
        <item x="16"/>
        <item x="96"/>
        <item x="30"/>
        <item x="90"/>
        <item x="77"/>
        <item x="113"/>
        <item x="35"/>
        <item x="39"/>
        <item x="41"/>
      </items>
    </pivotField>
    <pivotField axis="axisRow" compact="0" outline="0" showAll="0" defaultSubtotal="0">
      <items count="440">
        <item x="436"/>
        <item x="438"/>
        <item x="437"/>
        <item x="435"/>
        <item x="434"/>
        <item x="153"/>
        <item x="10"/>
        <item x="27"/>
        <item x="85"/>
        <item x="71"/>
        <item x="37"/>
        <item x="63"/>
        <item x="84"/>
        <item x="94"/>
        <item x="92"/>
        <item x="45"/>
        <item x="64"/>
        <item x="86"/>
        <item x="72"/>
        <item x="38"/>
        <item x="88"/>
        <item x="44"/>
        <item x="56"/>
        <item x="55"/>
        <item x="89"/>
        <item x="11"/>
        <item x="90"/>
        <item x="26"/>
        <item x="31"/>
        <item x="74"/>
        <item x="65"/>
        <item x="73"/>
        <item x="35"/>
        <item x="0"/>
        <item x="9"/>
        <item x="83"/>
        <item x="60"/>
        <item x="128"/>
        <item x="58"/>
        <item x="148"/>
        <item x="141"/>
        <item x="14"/>
        <item x="289"/>
        <item x="32"/>
        <item x="173"/>
        <item x="20"/>
        <item x="158"/>
        <item x="159"/>
        <item x="160"/>
        <item x="161"/>
        <item x="162"/>
        <item x="167"/>
        <item x="163"/>
        <item x="61"/>
        <item x="119"/>
        <item x="120"/>
        <item x="15"/>
        <item x="192"/>
        <item x="40"/>
        <item x="43"/>
        <item x="315"/>
        <item x="316"/>
        <item x="54"/>
        <item x="41"/>
        <item x="93"/>
        <item x="36"/>
        <item x="48"/>
        <item x="172"/>
        <item x="28"/>
        <item x="29"/>
        <item x="46"/>
        <item x="47"/>
        <item x="66"/>
        <item x="16"/>
        <item x="49"/>
        <item x="50"/>
        <item x="76"/>
        <item x="51"/>
        <item x="168"/>
        <item x="169"/>
        <item x="170"/>
        <item x="164"/>
        <item x="165"/>
        <item x="166"/>
        <item x="171"/>
        <item x="69"/>
        <item x="318"/>
        <item x="319"/>
        <item x="100"/>
        <item x="70"/>
        <item x="77"/>
        <item x="33"/>
        <item x="78"/>
        <item x="79"/>
        <item x="417"/>
        <item x="87"/>
        <item x="80"/>
        <item x="174"/>
        <item x="91"/>
        <item x="57"/>
        <item x="366"/>
        <item x="81"/>
        <item x="59"/>
        <item x="21"/>
        <item x="421"/>
        <item x="422"/>
        <item x="360"/>
        <item x="114"/>
        <item x="418"/>
        <item x="419"/>
        <item x="19"/>
        <item x="420"/>
        <item x="23"/>
        <item x="108"/>
        <item x="95"/>
        <item x="62"/>
        <item x="97"/>
        <item x="42"/>
        <item x="53"/>
        <item x="106"/>
        <item x="98"/>
        <item x="359"/>
        <item x="358"/>
        <item x="184"/>
        <item x="185"/>
        <item x="175"/>
        <item x="182"/>
        <item x="180"/>
        <item x="181"/>
        <item x="327"/>
        <item x="75"/>
        <item x="112"/>
        <item x="411"/>
        <item x="223"/>
        <item x="212"/>
        <item x="210"/>
        <item x="211"/>
        <item x="204"/>
        <item x="213"/>
        <item x="224"/>
        <item x="214"/>
        <item x="201"/>
        <item x="215"/>
        <item x="225"/>
        <item x="199"/>
        <item x="202"/>
        <item x="227"/>
        <item x="209"/>
        <item x="205"/>
        <item x="216"/>
        <item x="217"/>
        <item x="218"/>
        <item x="264"/>
        <item x="261"/>
        <item x="226"/>
        <item x="263"/>
        <item x="203"/>
        <item x="206"/>
        <item x="200"/>
        <item x="228"/>
        <item x="219"/>
        <item x="207"/>
        <item x="258"/>
        <item x="220"/>
        <item x="221"/>
        <item x="262"/>
        <item x="259"/>
        <item x="208"/>
        <item x="222"/>
        <item x="355"/>
        <item x="113"/>
        <item x="396"/>
        <item x="397"/>
        <item x="298"/>
        <item x="299"/>
        <item x="157"/>
        <item x="149"/>
        <item x="367"/>
        <item x="102"/>
        <item x="103"/>
        <item x="82"/>
        <item x="368"/>
        <item x="105"/>
        <item x="104"/>
        <item x="110"/>
        <item x="111"/>
        <item x="115"/>
        <item x="68"/>
        <item x="34"/>
        <item x="196"/>
        <item x="129"/>
        <item x="130"/>
        <item x="107"/>
        <item x="416"/>
        <item x="415"/>
        <item x="123"/>
        <item x="124"/>
        <item x="125"/>
        <item x="126"/>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85"/>
        <item x="288"/>
        <item x="286"/>
        <item x="426"/>
        <item x="427"/>
        <item x="428"/>
        <item x="429"/>
        <item x="423"/>
        <item x="424"/>
        <item x="320"/>
        <item x="321"/>
        <item x="322"/>
        <item x="323"/>
        <item x="324"/>
        <item x="325"/>
        <item x="326"/>
        <item x="284"/>
        <item x="330"/>
        <item x="12"/>
        <item x="150"/>
        <item x="18"/>
        <item x="151"/>
        <item x="152"/>
        <item x="389"/>
        <item x="390"/>
        <item x="369"/>
        <item x="373"/>
        <item x="371"/>
        <item x="372"/>
        <item x="370"/>
        <item x="404"/>
        <item x="406"/>
        <item x="405"/>
        <item x="402"/>
        <item x="401"/>
        <item x="403"/>
        <item x="408"/>
        <item x="382"/>
        <item x="383"/>
        <item x="375"/>
        <item x="385"/>
        <item x="376"/>
        <item x="388"/>
        <item x="378"/>
        <item x="379"/>
        <item x="380"/>
        <item x="387"/>
        <item x="384"/>
        <item x="377"/>
        <item x="386"/>
        <item x="381"/>
        <item x="392"/>
        <item x="395"/>
        <item x="394"/>
        <item x="393"/>
        <item x="391"/>
        <item x="374"/>
        <item x="122"/>
        <item x="121"/>
        <item x="187"/>
        <item x="356"/>
        <item x="188"/>
        <item x="353"/>
        <item x="357"/>
        <item x="189"/>
        <item x="190"/>
        <item x="191"/>
        <item x="354"/>
        <item x="144"/>
        <item x="146"/>
        <item x="147"/>
        <item x="145"/>
        <item x="290"/>
        <item x="291"/>
        <item x="295"/>
        <item x="297"/>
        <item x="340"/>
        <item x="342"/>
        <item x="341"/>
        <item x="302"/>
        <item x="301"/>
        <item x="314"/>
        <item x="309"/>
        <item x="346"/>
        <item x="338"/>
        <item x="308"/>
        <item x="352"/>
        <item x="343"/>
        <item x="310"/>
        <item x="307"/>
        <item x="292"/>
        <item x="364"/>
        <item x="345"/>
        <item x="347"/>
        <item x="344"/>
        <item x="365"/>
        <item x="362"/>
        <item x="348"/>
        <item x="351"/>
        <item x="349"/>
        <item x="350"/>
        <item x="306"/>
        <item x="303"/>
        <item x="293"/>
        <item x="294"/>
        <item x="337"/>
        <item x="339"/>
        <item x="313"/>
        <item x="328"/>
        <item x="363"/>
        <item x="134"/>
        <item x="194"/>
        <item x="195"/>
        <item x="183"/>
        <item x="300"/>
        <item x="430"/>
        <item x="431"/>
        <item x="432"/>
        <item x="433"/>
        <item x="101"/>
        <item x="52"/>
        <item x="425"/>
        <item x="265"/>
        <item x="266"/>
        <item x="267"/>
        <item x="268"/>
        <item x="269"/>
        <item x="270"/>
        <item x="271"/>
        <item x="272"/>
        <item x="273"/>
        <item x="274"/>
        <item x="275"/>
        <item x="276"/>
        <item x="361"/>
        <item x="96"/>
        <item x="154"/>
        <item x="155"/>
        <item x="156"/>
        <item x="143"/>
        <item x="17"/>
        <item x="142"/>
        <item x="409"/>
        <item x="24"/>
        <item x="410"/>
        <item x="414"/>
        <item x="412"/>
        <item x="197"/>
        <item x="30"/>
        <item x="138"/>
        <item x="139"/>
        <item x="135"/>
        <item x="140"/>
        <item x="136"/>
        <item x="137"/>
        <item x="131"/>
        <item x="132"/>
        <item x="133"/>
        <item x="279"/>
        <item x="317"/>
        <item x="398"/>
        <item x="193"/>
        <item x="332"/>
        <item x="109"/>
        <item x="116"/>
        <item x="117"/>
        <item x="118"/>
        <item x="186"/>
        <item x="179"/>
        <item x="198"/>
        <item x="99"/>
        <item x="413"/>
        <item x="287"/>
        <item x="280"/>
        <item x="283"/>
        <item x="335"/>
        <item x="260"/>
        <item x="336"/>
        <item x="333"/>
        <item x="329"/>
        <item x="334"/>
        <item x="282"/>
        <item x="22"/>
        <item x="39"/>
        <item x="13"/>
        <item x="25"/>
        <item x="176"/>
        <item x="178"/>
        <item x="177"/>
        <item x="331"/>
        <item x="281"/>
        <item x="127"/>
        <item x="67"/>
        <item x="1"/>
        <item x="2"/>
        <item x="3"/>
        <item x="4"/>
        <item x="5"/>
        <item x="6"/>
        <item x="7"/>
        <item x="8"/>
        <item x="277"/>
        <item x="278"/>
        <item m="1" x="439"/>
        <item x="296"/>
        <item x="304"/>
        <item x="305"/>
        <item x="311"/>
        <item x="312"/>
        <item x="399"/>
        <item x="400"/>
        <item x="407"/>
      </items>
    </pivotField>
    <pivotField axis="axisRow" compact="0" outline="0" showAll="0" defaultSubtotal="0">
      <items count="449">
        <item x="75"/>
        <item m="1" x="444"/>
        <item x="164"/>
        <item x="196"/>
        <item x="72"/>
        <item x="50"/>
        <item x="78"/>
        <item x="328"/>
        <item x="177"/>
        <item x="176"/>
        <item x="429"/>
        <item x="430"/>
        <item x="77"/>
        <item x="114"/>
        <item x="45"/>
        <item x="107"/>
        <item x="5"/>
        <item x="53"/>
        <item x="15"/>
        <item x="40"/>
        <item x="70"/>
        <item x="7"/>
        <item x="54"/>
        <item x="35"/>
        <item x="160"/>
        <item x="172"/>
        <item x="44"/>
        <item x="366"/>
        <item x="166"/>
        <item x="159"/>
        <item x="165"/>
        <item x="169"/>
        <item x="171"/>
        <item x="168"/>
        <item x="367"/>
        <item x="368"/>
        <item x="369"/>
        <item x="370"/>
        <item x="116"/>
        <item x="22"/>
        <item x="56"/>
        <item x="37"/>
        <item x="405"/>
        <item x="431"/>
        <item x="185"/>
        <item x="184"/>
        <item x="329"/>
        <item x="146"/>
        <item x="296"/>
        <item x="220"/>
        <item x="221"/>
        <item x="49"/>
        <item x="10"/>
        <item x="415"/>
        <item x="414"/>
        <item x="413"/>
        <item x="412"/>
        <item x="150"/>
        <item x="23"/>
        <item x="19"/>
        <item x="373"/>
        <item x="372"/>
        <item x="371"/>
        <item x="380"/>
        <item x="382"/>
        <item x="385"/>
        <item x="384"/>
        <item x="375"/>
        <item x="377"/>
        <item x="376"/>
        <item x="379"/>
        <item x="167"/>
        <item x="278"/>
        <item x="290"/>
        <item x="289"/>
        <item m="1" x="436"/>
        <item x="170"/>
        <item x="4"/>
        <item x="16"/>
        <item x="33"/>
        <item x="21"/>
        <item x="6"/>
        <item x="83"/>
        <item x="14"/>
        <item x="106"/>
        <item x="3"/>
        <item x="60"/>
        <item x="34"/>
        <item x="297"/>
        <item x="1"/>
        <item x="112"/>
        <item x="41"/>
        <item x="31"/>
        <item x="108"/>
        <item x="259"/>
        <item x="0"/>
        <item x="24"/>
        <item x="357"/>
        <item x="90"/>
        <item x="66"/>
        <item x="47"/>
        <item x="395"/>
        <item x="111"/>
        <item x="115"/>
        <item x="293"/>
        <item x="291"/>
        <item m="1" x="439"/>
        <item x="292"/>
        <item x="97"/>
        <item x="25"/>
        <item x="407"/>
        <item x="145"/>
        <item x="144"/>
        <item x="147"/>
        <item x="387"/>
        <item x="386"/>
        <item x="12"/>
        <item x="181"/>
        <item x="180"/>
        <item x="182"/>
        <item x="353"/>
        <item x="142"/>
        <item x="17"/>
        <item x="143"/>
        <item x="100"/>
        <item x="84"/>
        <item x="55"/>
        <item x="193"/>
        <item x="71"/>
        <item x="175"/>
        <item x="298"/>
        <item x="96"/>
        <item x="174"/>
        <item x="79"/>
        <item x="183"/>
        <item x="98"/>
        <item x="99"/>
        <item x="117"/>
        <item x="118"/>
        <item x="358"/>
        <item x="42"/>
        <item x="76"/>
        <item x="110"/>
        <item x="9"/>
        <item x="92"/>
        <item x="94"/>
        <item x="418"/>
        <item x="419"/>
        <item x="91"/>
        <item x="93"/>
        <item x="89"/>
        <item x="26"/>
        <item x="43"/>
        <item x="61"/>
        <item x="32"/>
        <item x="20"/>
        <item x="2"/>
        <item x="74"/>
        <item x="213"/>
        <item x="51"/>
        <item x="294"/>
        <item x="432"/>
        <item x="197"/>
        <item x="153"/>
        <item x="27"/>
        <item x="11"/>
        <item x="29"/>
        <item x="18"/>
        <item x="151"/>
        <item x="152"/>
        <item x="390"/>
        <item x="308"/>
        <item x="307"/>
        <item m="1" x="446"/>
        <item x="306"/>
        <item m="1" x="447"/>
        <item x="304"/>
        <item x="301"/>
        <item x="305"/>
        <item x="389"/>
        <item x="69"/>
        <item x="317"/>
        <item x="316"/>
        <item x="68"/>
        <item x="337"/>
        <item x="311"/>
        <item x="312"/>
        <item x="326"/>
        <item x="335"/>
        <item x="336"/>
        <item x="163"/>
        <item x="119"/>
        <item x="120"/>
        <item x="63"/>
        <item x="64"/>
        <item x="392"/>
        <item x="391"/>
        <item x="388"/>
        <item x="191"/>
        <item x="394"/>
        <item x="393"/>
        <item x="195"/>
        <item x="80"/>
        <item x="87"/>
        <item x="73"/>
        <item x="65"/>
        <item x="281"/>
        <item x="332"/>
        <item x="327"/>
        <item x="331"/>
        <item x="334"/>
        <item x="406"/>
        <item x="113"/>
        <item x="82"/>
        <item x="28"/>
        <item x="211"/>
        <item x="204"/>
        <item x="209"/>
        <item x="260"/>
        <item x="205"/>
        <item x="225"/>
        <item x="200"/>
        <item x="216"/>
        <item x="223"/>
        <item x="219"/>
        <item x="208"/>
        <item x="199"/>
        <item x="198"/>
        <item x="210"/>
        <item x="263"/>
        <item x="226"/>
        <item x="257"/>
        <item x="224"/>
        <item x="222"/>
        <item x="218"/>
        <item x="206"/>
        <item x="217"/>
        <item x="202"/>
        <item x="215"/>
        <item x="203"/>
        <item x="262"/>
        <item x="258"/>
        <item x="261"/>
        <item x="227"/>
        <item x="214"/>
        <item x="212"/>
        <item x="201"/>
        <item x="207"/>
        <item x="88"/>
        <item x="333"/>
        <item x="279"/>
        <item x="282"/>
        <item x="286"/>
        <item m="1" x="434"/>
        <item x="339"/>
        <item x="141"/>
        <item x="338"/>
        <item x="340"/>
        <item x="121"/>
        <item x="122"/>
        <item x="324"/>
        <item x="318"/>
        <item x="323"/>
        <item x="319"/>
        <item x="320"/>
        <item x="321"/>
        <item x="322"/>
        <item x="409"/>
        <item x="408"/>
        <item x="95"/>
        <item x="398"/>
        <item m="1" x="438"/>
        <item x="402"/>
        <item x="399"/>
        <item x="404"/>
        <item x="401"/>
        <item x="400"/>
        <item x="283"/>
        <item x="285"/>
        <item x="284"/>
        <item x="105"/>
        <item x="189"/>
        <item x="190"/>
        <item x="109"/>
        <item x="127"/>
        <item x="149"/>
        <item x="130"/>
        <item x="280"/>
        <item x="352"/>
        <item x="351"/>
        <item x="126"/>
        <item x="125"/>
        <item x="288"/>
        <item x="124"/>
        <item x="123"/>
        <item x="86"/>
        <item x="315"/>
        <item x="350"/>
        <item x="341"/>
        <item x="356"/>
        <item x="187"/>
        <item x="287"/>
        <item x="314"/>
        <item x="313"/>
        <item x="192"/>
        <item x="48"/>
        <item x="36"/>
        <item x="235"/>
        <item x="246"/>
        <item x="242"/>
        <item x="229"/>
        <item x="252"/>
        <item x="239"/>
        <item x="254"/>
        <item x="231"/>
        <item x="241"/>
        <item x="251"/>
        <item x="255"/>
        <item x="250"/>
        <item x="256"/>
        <item x="233"/>
        <item x="238"/>
        <item x="228"/>
        <item x="249"/>
        <item x="248"/>
        <item x="244"/>
        <item x="234"/>
        <item x="232"/>
        <item x="247"/>
        <item x="230"/>
        <item x="237"/>
        <item x="245"/>
        <item x="253"/>
        <item x="236"/>
        <item x="243"/>
        <item x="275"/>
        <item x="266"/>
        <item x="267"/>
        <item x="271"/>
        <item x="272"/>
        <item x="264"/>
        <item x="265"/>
        <item x="274"/>
        <item x="273"/>
        <item x="270"/>
        <item x="269"/>
        <item x="268"/>
        <item m="1" x="443"/>
        <item x="133"/>
        <item x="162"/>
        <item x="179"/>
        <item x="186"/>
        <item x="240"/>
        <item x="38"/>
        <item x="39"/>
        <item x="13"/>
        <item x="325"/>
        <item x="30"/>
        <item x="157"/>
        <item x="46"/>
        <item x="158"/>
        <item x="378"/>
        <item x="381"/>
        <item x="374"/>
        <item x="383"/>
        <item m="1" x="435"/>
        <item x="346"/>
        <item x="58"/>
        <item x="103"/>
        <item x="104"/>
        <item x="102"/>
        <item x="8"/>
        <item x="363"/>
        <item x="81"/>
        <item x="57"/>
        <item x="137"/>
        <item x="136"/>
        <item x="139"/>
        <item x="138"/>
        <item x="140"/>
        <item x="135"/>
        <item x="342"/>
        <item x="343"/>
        <item x="345"/>
        <item x="344"/>
        <item m="1" x="445"/>
        <item x="347"/>
        <item m="1" x="433"/>
        <item x="348"/>
        <item x="417"/>
        <item x="416"/>
        <item x="360"/>
        <item x="359"/>
        <item m="1" x="441"/>
        <item x="361"/>
        <item x="362"/>
        <item m="1" x="448"/>
        <item x="411"/>
        <item x="410"/>
        <item x="428"/>
        <item x="426"/>
        <item x="425"/>
        <item x="421"/>
        <item x="423"/>
        <item x="422"/>
        <item x="424"/>
        <item x="427"/>
        <item x="85"/>
        <item x="134"/>
        <item x="194"/>
        <item x="101"/>
        <item x="52"/>
        <item x="355"/>
        <item x="354"/>
        <item x="67"/>
        <item x="365"/>
        <item x="364"/>
        <item x="59"/>
        <item x="62"/>
        <item x="132"/>
        <item x="131"/>
        <item x="128"/>
        <item x="129"/>
        <item x="188"/>
        <item x="161"/>
        <item x="173"/>
        <item m="1" x="440"/>
        <item x="299"/>
        <item x="300"/>
        <item m="1" x="437"/>
        <item x="420"/>
        <item x="178"/>
        <item x="330"/>
        <item x="148"/>
        <item x="154"/>
        <item x="155"/>
        <item x="156"/>
        <item x="349"/>
        <item x="276"/>
        <item x="277"/>
        <item m="1" x="442"/>
        <item x="295"/>
        <item x="302"/>
        <item x="303"/>
        <item x="309"/>
        <item x="310"/>
        <item x="396"/>
        <item x="397"/>
        <item x="403"/>
      </items>
    </pivotField>
    <pivotField compact="0" numFmtId="164" outline="0" showAll="0" defaultSubtotal="0"/>
    <pivotField dataField="1" compact="0" numFmtId="165" outline="0" showAll="0" defaultSubtotal="0"/>
    <pivotField compact="0" numFmtId="166" outline="0" showAll="0" defaultSubtotal="0">
      <items count="318">
        <item x="69"/>
        <item x="47"/>
        <item x="8"/>
        <item x="253"/>
        <item x="238"/>
        <item x="213"/>
        <item x="212"/>
        <item x="71"/>
        <item x="73"/>
        <item x="55"/>
        <item x="78"/>
        <item m="1" x="313"/>
        <item x="106"/>
        <item x="296"/>
        <item x="260"/>
        <item x="62"/>
        <item x="23"/>
        <item x="257"/>
        <item x="72"/>
        <item x="292"/>
        <item x="49"/>
        <item x="203"/>
        <item x="300"/>
        <item x="278"/>
        <item x="98"/>
        <item x="44"/>
        <item x="59"/>
        <item x="99"/>
        <item x="233"/>
        <item x="54"/>
        <item x="105"/>
        <item x="61"/>
        <item x="250"/>
        <item x="9"/>
        <item x="121"/>
        <item x="115"/>
        <item x="256"/>
        <item x="97"/>
        <item x="254"/>
        <item x="74"/>
        <item x="36"/>
        <item x="271"/>
        <item x="259"/>
        <item x="197"/>
        <item x="299"/>
        <item x="234"/>
        <item x="28"/>
        <item x="239"/>
        <item x="43"/>
        <item x="170"/>
        <item x="26"/>
        <item x="153"/>
        <item x="82"/>
        <item x="14"/>
        <item x="38"/>
        <item x="154"/>
        <item x="177"/>
        <item x="152"/>
        <item x="15"/>
        <item x="272"/>
        <item x="206"/>
        <item x="135"/>
        <item m="1" x="315"/>
        <item x="29"/>
        <item x="114"/>
        <item x="287"/>
        <item x="148"/>
        <item x="275"/>
        <item x="50"/>
        <item x="155"/>
        <item x="173"/>
        <item x="156"/>
        <item x="172"/>
        <item x="208"/>
        <item x="86"/>
        <item x="90"/>
        <item x="261"/>
        <item x="145"/>
        <item x="171"/>
        <item x="147"/>
        <item x="218"/>
        <item x="112"/>
        <item x="34"/>
        <item x="175"/>
        <item x="10"/>
        <item x="113"/>
        <item x="25"/>
        <item x="83"/>
        <item x="159"/>
        <item x="92"/>
        <item x="48"/>
        <item x="118"/>
        <item x="64"/>
        <item x="279"/>
        <item x="76"/>
        <item x="81"/>
        <item x="181"/>
        <item x="291"/>
        <item x="264"/>
        <item x="301"/>
        <item x="290"/>
        <item x="274"/>
        <item x="11"/>
        <item x="33"/>
        <item x="236"/>
        <item x="19"/>
        <item x="51"/>
        <item x="167"/>
        <item x="42"/>
        <item x="32"/>
        <item x="143"/>
        <item x="129"/>
        <item x="180"/>
        <item x="184"/>
        <item x="13"/>
        <item x="178"/>
        <item x="93"/>
        <item m="1" x="314"/>
        <item x="284"/>
        <item x="136"/>
        <item x="77"/>
        <item m="1" x="305"/>
        <item x="0"/>
        <item x="214"/>
        <item x="110"/>
        <item x="162"/>
        <item x="27"/>
        <item x="228"/>
        <item x="140"/>
        <item x="12"/>
        <item x="204"/>
        <item m="1" x="307"/>
        <item x="217"/>
        <item x="125"/>
        <item x="164"/>
        <item x="166"/>
        <item x="165"/>
        <item x="88"/>
        <item x="158"/>
        <item x="285"/>
        <item x="163"/>
        <item x="142"/>
        <item x="130"/>
        <item x="168"/>
        <item x="132"/>
        <item x="21"/>
        <item x="146"/>
        <item x="138"/>
        <item x="249"/>
        <item x="89"/>
        <item x="174"/>
        <item x="231"/>
        <item x="283"/>
        <item x="282"/>
        <item x="57"/>
        <item x="281"/>
        <item x="134"/>
        <item x="31"/>
        <item x="52"/>
        <item x="207"/>
        <item x="189"/>
        <item x="229"/>
        <item x="176"/>
        <item x="255"/>
        <item x="30"/>
        <item x="293"/>
        <item x="120"/>
        <item x="103"/>
        <item x="41"/>
        <item x="108"/>
        <item x="109"/>
        <item x="40"/>
        <item x="273"/>
        <item x="195"/>
        <item x="230"/>
        <item x="216"/>
        <item x="111"/>
        <item x="196"/>
        <item x="222"/>
        <item x="294"/>
        <item x="298"/>
        <item x="16"/>
        <item x="107"/>
        <item x="116"/>
        <item x="269"/>
        <item x="232"/>
        <item m="1" x="312"/>
        <item x="124"/>
        <item x="235"/>
        <item x="35"/>
        <item x="179"/>
        <item x="289"/>
        <item x="3"/>
        <item m="1" x="316"/>
        <item x="70"/>
        <item x="119"/>
        <item x="191"/>
        <item x="46"/>
        <item x="85"/>
        <item x="246"/>
        <item x="45"/>
        <item x="4"/>
        <item x="276"/>
        <item x="258"/>
        <item x="265"/>
        <item x="263"/>
        <item x="5"/>
        <item x="266"/>
        <item x="183"/>
        <item x="126"/>
        <item x="39"/>
        <item x="137"/>
        <item x="60"/>
        <item x="22"/>
        <item x="248"/>
        <item x="68"/>
        <item x="201"/>
        <item x="268"/>
        <item x="221"/>
        <item x="247"/>
        <item x="75"/>
        <item x="160"/>
        <item x="161"/>
        <item x="139"/>
        <item x="220"/>
        <item x="149"/>
        <item x="226"/>
        <item x="144"/>
        <item x="157"/>
        <item x="151"/>
        <item x="20"/>
        <item x="224"/>
        <item x="94"/>
        <item x="79"/>
        <item x="7"/>
        <item x="150"/>
        <item x="237"/>
        <item x="131"/>
        <item x="123"/>
        <item x="87"/>
        <item x="133"/>
        <item x="141"/>
        <item x="122"/>
        <item x="225"/>
        <item x="288"/>
        <item x="270"/>
        <item x="56"/>
        <item x="2"/>
        <item x="37"/>
        <item x="102"/>
        <item x="267"/>
        <item x="65"/>
        <item x="211"/>
        <item x="286"/>
        <item x="127"/>
        <item x="104"/>
        <item x="295"/>
        <item x="84"/>
        <item x="187"/>
        <item x="244"/>
        <item x="1"/>
        <item x="303"/>
        <item x="169"/>
        <item x="277"/>
        <item x="262"/>
        <item x="205"/>
        <item x="182"/>
        <item x="188"/>
        <item x="17"/>
        <item m="1" x="309"/>
        <item x="67"/>
        <item x="243"/>
        <item m="1" x="317"/>
        <item x="6"/>
        <item x="100"/>
        <item x="198"/>
        <item x="223"/>
        <item x="63"/>
        <item x="193"/>
        <item x="58"/>
        <item x="241"/>
        <item x="101"/>
        <item x="96"/>
        <item m="1" x="308"/>
        <item x="200"/>
        <item x="227"/>
        <item x="190"/>
        <item x="80"/>
        <item x="252"/>
        <item m="1" x="310"/>
        <item x="91"/>
        <item x="66"/>
        <item x="117"/>
        <item x="240"/>
        <item x="128"/>
        <item x="302"/>
        <item x="194"/>
        <item x="245"/>
        <item x="95"/>
        <item x="24"/>
        <item m="1" x="311"/>
        <item x="304"/>
        <item x="199"/>
        <item x="219"/>
        <item x="18"/>
        <item x="251"/>
        <item x="53"/>
        <item x="242"/>
        <item m="1" x="306"/>
        <item x="297"/>
        <item x="192"/>
        <item x="185"/>
        <item x="186"/>
        <item x="202"/>
        <item x="209"/>
        <item x="210"/>
        <item x="215"/>
        <item x="280"/>
      </items>
    </pivotField>
    <pivotField dataField="1" compact="0" numFmtId="166" outline="0" showAll="0" defaultSubtotal="0"/>
    <pivotField compact="0" numFmtId="166" outline="0" showAll="0" defaultSubtotal="0"/>
    <pivotField compact="0" numFmtId="166" outline="0" showAll="0" defaultSubtotal="0"/>
    <pivotField compact="0" numFmtId="166" outline="0" showAll="0" defaultSubtotal="0"/>
    <pivotField compact="0" outline="0" showAll="0" defaultSubtotal="0"/>
  </pivotFields>
  <rowFields count="4">
    <field x="1"/>
    <field x="2"/>
    <field x="3"/>
    <field x="4"/>
  </rowFields>
  <rowItems count="440">
    <i>
      <x/>
      <x v="25"/>
      <x v="415"/>
      <x v="431"/>
    </i>
    <i r="1">
      <x v="30"/>
      <x v="44"/>
      <x v="425"/>
    </i>
    <i r="2">
      <x v="97"/>
      <x v="132"/>
    </i>
    <i r="2">
      <x v="125"/>
      <x v="129"/>
    </i>
    <i r="2">
      <x v="414"/>
      <x v="9"/>
    </i>
    <i r="2">
      <x v="416"/>
      <x v="8"/>
    </i>
    <i r="1">
      <x v="53"/>
      <x v="67"/>
      <x v="25"/>
    </i>
    <i>
      <x v="1"/>
      <x v="50"/>
      <x v="48"/>
      <x v="24"/>
    </i>
    <i r="2">
      <x v="49"/>
      <x v="424"/>
    </i>
    <i r="2">
      <x v="50"/>
      <x v="349"/>
    </i>
    <i r="2">
      <x v="52"/>
      <x v="190"/>
    </i>
    <i r="2">
      <x v="81"/>
      <x v="2"/>
    </i>
    <i r="2">
      <x v="82"/>
      <x v="30"/>
    </i>
    <i r="2">
      <x v="83"/>
      <x v="28"/>
    </i>
    <i r="1">
      <x v="88"/>
      <x v="51"/>
      <x v="71"/>
    </i>
    <i r="2">
      <x v="78"/>
      <x v="33"/>
    </i>
    <i r="2">
      <x v="79"/>
      <x v="31"/>
    </i>
    <i r="2">
      <x v="80"/>
      <x v="76"/>
    </i>
    <i r="2">
      <x v="84"/>
      <x v="32"/>
    </i>
    <i r="1">
      <x v="94"/>
      <x v="46"/>
      <x v="360"/>
    </i>
    <i r="2">
      <x v="47"/>
      <x v="29"/>
    </i>
    <i>
      <x v="2"/>
      <x v="7"/>
      <x/>
      <x v="43"/>
    </i>
    <i r="2">
      <x v="123"/>
      <x v="45"/>
    </i>
    <i r="2">
      <x v="124"/>
      <x v="44"/>
    </i>
    <i r="2">
      <x v="127"/>
      <x v="118"/>
    </i>
    <i r="2">
      <x v="128"/>
      <x v="117"/>
    </i>
    <i r="1">
      <x v="24"/>
      <x v="126"/>
      <x v="119"/>
    </i>
    <i r="1">
      <x v="31"/>
      <x v="341"/>
      <x v="134"/>
    </i>
    <i r="1">
      <x v="59"/>
      <x v="395"/>
      <x v="351"/>
    </i>
    <i r="1">
      <x v="93"/>
      <x v="1"/>
      <x v="161"/>
    </i>
    <i r="2">
      <x v="2"/>
      <x v="162"/>
    </i>
    <i>
      <x v="3"/>
      <x v="72"/>
      <x v="94"/>
      <x v="56"/>
    </i>
    <i r="2">
      <x v="108"/>
      <x v="55"/>
    </i>
    <i r="2">
      <x v="109"/>
      <x v="54"/>
    </i>
    <i r="2">
      <x v="111"/>
      <x v="53"/>
    </i>
    <i>
      <x v="4"/>
      <x/>
      <x v="130"/>
      <x/>
    </i>
    <i r="1">
      <x v="10"/>
      <x v="110"/>
      <x v="59"/>
    </i>
    <i r="1">
      <x v="12"/>
      <x v="19"/>
      <x v="353"/>
    </i>
    <i r="2">
      <x v="102"/>
      <x v="417"/>
    </i>
    <i r="2">
      <x v="112"/>
      <x v="58"/>
    </i>
    <i r="2">
      <x v="180"/>
      <x v="213"/>
    </i>
    <i r="2">
      <x v="246"/>
      <x v="116"/>
    </i>
    <i r="2">
      <x v="348"/>
      <x v="411"/>
    </i>
    <i r="2">
      <x v="363"/>
      <x v="131"/>
    </i>
    <i r="2">
      <x v="411"/>
      <x v="354"/>
    </i>
    <i r="2">
      <x v="412"/>
      <x v="355"/>
    </i>
    <i r="2">
      <x v="420"/>
      <x v="414"/>
    </i>
    <i r="1">
      <x v="14"/>
      <x v="20"/>
      <x v="248"/>
    </i>
    <i r="2">
      <x v="21"/>
      <x v="26"/>
    </i>
    <i r="2">
      <x v="28"/>
      <x v="92"/>
    </i>
    <i r="2">
      <x v="29"/>
      <x v="157"/>
    </i>
    <i r="2">
      <x v="35"/>
      <x v="82"/>
    </i>
    <i r="2">
      <x v="36"/>
      <x v="86"/>
    </i>
    <i r="2">
      <x v="41"/>
      <x v="83"/>
    </i>
    <i r="2">
      <x v="43"/>
      <x v="154"/>
    </i>
    <i r="2">
      <x v="45"/>
      <x v="155"/>
    </i>
    <i r="2">
      <x v="53"/>
      <x v="153"/>
    </i>
    <i r="2">
      <x v="56"/>
      <x v="18"/>
    </i>
    <i r="2">
      <x v="58"/>
      <x v="19"/>
    </i>
    <i r="2">
      <x v="63"/>
      <x v="91"/>
    </i>
    <i r="2">
      <x v="73"/>
      <x v="78"/>
    </i>
    <i r="2">
      <x v="91"/>
      <x v="79"/>
    </i>
    <i r="2">
      <x v="103"/>
      <x v="80"/>
    </i>
    <i r="2">
      <x v="188"/>
      <x v="87"/>
    </i>
    <i r="2">
      <x v="368"/>
      <x v="122"/>
    </i>
    <i r="2">
      <x v="410"/>
      <x v="39"/>
    </i>
    <i r="1">
      <x v="16"/>
      <x v="116"/>
      <x v="108"/>
    </i>
    <i r="2">
      <x v="117"/>
      <x v="140"/>
    </i>
    <i r="2">
      <x v="118"/>
      <x v="17"/>
    </i>
    <i r="2">
      <x v="248"/>
      <x v="167"/>
    </i>
    <i r="2">
      <x v="421"/>
      <x v="89"/>
    </i>
    <i r="2">
      <x v="422"/>
      <x v="156"/>
    </i>
    <i r="2">
      <x v="423"/>
      <x v="85"/>
    </i>
    <i r="2">
      <x v="424"/>
      <x v="77"/>
    </i>
    <i r="2">
      <x v="425"/>
      <x v="16"/>
    </i>
    <i r="2">
      <x v="426"/>
      <x v="81"/>
    </i>
    <i r="2">
      <x v="427"/>
      <x v="21"/>
    </i>
    <i r="2">
      <x v="428"/>
      <x v="371"/>
    </i>
    <i r="1">
      <x v="17"/>
      <x v="371"/>
      <x v="96"/>
    </i>
    <i r="1">
      <x v="28"/>
      <x v="6"/>
      <x v="52"/>
    </i>
    <i r="2">
      <x v="7"/>
      <x v="164"/>
    </i>
    <i r="2">
      <x v="8"/>
      <x v="407"/>
    </i>
    <i r="2">
      <x v="9"/>
      <x v="128"/>
    </i>
    <i r="2">
      <x v="10"/>
      <x v="41"/>
    </i>
    <i r="2">
      <x v="11"/>
      <x v="193"/>
    </i>
    <i r="2">
      <x v="12"/>
      <x v="125"/>
    </i>
    <i r="2">
      <x v="13"/>
      <x v="145"/>
    </i>
    <i r="2">
      <x v="14"/>
      <x v="144"/>
    </i>
    <i r="2">
      <x v="15"/>
      <x v="14"/>
    </i>
    <i r="2">
      <x v="16"/>
      <x v="194"/>
    </i>
    <i r="2">
      <x v="17"/>
      <x v="295"/>
    </i>
    <i r="2">
      <x v="18"/>
      <x v="4"/>
    </i>
    <i r="2">
      <x v="23"/>
      <x v="126"/>
    </i>
    <i r="2">
      <x v="25"/>
      <x v="165"/>
    </i>
    <i r="2">
      <x v="26"/>
      <x v="98"/>
    </i>
    <i r="2">
      <x v="30"/>
      <x v="205"/>
    </i>
    <i r="2">
      <x v="31"/>
      <x v="204"/>
    </i>
    <i r="2">
      <x v="68"/>
      <x v="214"/>
    </i>
    <i r="2">
      <x v="69"/>
      <x v="166"/>
    </i>
    <i r="2">
      <x v="70"/>
      <x v="359"/>
    </i>
    <i r="2">
      <x v="71"/>
      <x v="100"/>
    </i>
    <i r="2">
      <x v="72"/>
      <x v="99"/>
    </i>
    <i r="2">
      <x v="74"/>
      <x v="51"/>
    </i>
    <i r="2">
      <x v="75"/>
      <x v="5"/>
    </i>
    <i r="2">
      <x v="76"/>
      <x v="141"/>
    </i>
    <i r="2">
      <x v="77"/>
      <x v="159"/>
    </i>
    <i r="2">
      <x v="85"/>
      <x v="180"/>
    </i>
    <i r="2">
      <x v="89"/>
      <x v="20"/>
    </i>
    <i r="2">
      <x v="90"/>
      <x v="12"/>
    </i>
    <i r="2">
      <x v="92"/>
      <x v="6"/>
    </i>
    <i r="2">
      <x v="93"/>
      <x v="133"/>
    </i>
    <i r="2">
      <x v="95"/>
      <x v="203"/>
    </i>
    <i r="2">
      <x v="96"/>
      <x v="202"/>
    </i>
    <i r="2">
      <x v="98"/>
      <x v="148"/>
    </i>
    <i r="1">
      <x v="56"/>
      <x v="38"/>
      <x v="367"/>
    </i>
    <i r="1">
      <x v="64"/>
      <x v="114"/>
      <x v="269"/>
    </i>
    <i r="2">
      <x v="115"/>
      <x v="418"/>
    </i>
    <i r="1">
      <x v="65"/>
      <x v="34"/>
      <x v="143"/>
    </i>
    <i r="1">
      <x v="81"/>
      <x v="24"/>
      <x v="150"/>
    </i>
    <i r="2">
      <x v="27"/>
      <x v="151"/>
    </i>
    <i r="2">
      <x v="32"/>
      <x v="23"/>
    </i>
    <i r="2">
      <x v="33"/>
      <x v="95"/>
    </i>
    <i r="2">
      <x v="59"/>
      <x v="152"/>
    </i>
    <i r="2">
      <x v="62"/>
      <x v="22"/>
    </i>
    <i r="2">
      <x v="64"/>
      <x v="149"/>
    </i>
    <i r="2">
      <x v="65"/>
      <x v="306"/>
    </i>
    <i r="2">
      <x v="66"/>
      <x v="305"/>
    </i>
    <i r="1">
      <x v="92"/>
      <x v="187"/>
      <x v="183"/>
    </i>
    <i r="2">
      <x v="413"/>
      <x v="109"/>
    </i>
    <i r="1">
      <x v="93"/>
      <x v="376"/>
      <x v="357"/>
    </i>
    <i r="1">
      <x v="98"/>
      <x v="22"/>
      <x v="40"/>
    </i>
    <i r="2">
      <x v="99"/>
      <x v="374"/>
    </i>
    <i r="2">
      <x v="100"/>
      <x v="372"/>
    </i>
    <i r="2">
      <x v="101"/>
      <x v="373"/>
    </i>
    <i>
      <x v="5"/>
      <x v="4"/>
      <x v="253"/>
      <x v="27"/>
    </i>
    <i r="1">
      <x v="5"/>
      <x v="254"/>
      <x v="37"/>
    </i>
    <i r="2">
      <x v="255"/>
      <x v="35"/>
    </i>
    <i r="2">
      <x v="256"/>
      <x v="36"/>
    </i>
    <i r="2">
      <x v="257"/>
      <x v="34"/>
    </i>
    <i r="1">
      <x v="6"/>
      <x v="284"/>
      <x v="62"/>
    </i>
    <i r="1">
      <x v="11"/>
      <x v="265"/>
      <x v="70"/>
    </i>
    <i r="2">
      <x v="266"/>
      <x v="63"/>
    </i>
    <i r="2">
      <x v="267"/>
      <x v="61"/>
    </i>
    <i r="2">
      <x v="268"/>
      <x v="64"/>
    </i>
    <i r="2">
      <x v="269"/>
      <x v="60"/>
    </i>
    <i r="2">
      <x v="270"/>
      <x v="65"/>
    </i>
    <i r="2">
      <x v="271"/>
      <x v="67"/>
    </i>
    <i r="2">
      <x v="272"/>
      <x v="69"/>
    </i>
    <i r="2">
      <x v="273"/>
      <x v="68"/>
    </i>
    <i r="2">
      <x v="274"/>
      <x v="66"/>
    </i>
    <i r="2">
      <x v="275"/>
      <x v="362"/>
    </i>
    <i r="2">
      <x v="276"/>
      <x v="363"/>
    </i>
    <i r="2">
      <x v="277"/>
      <x v="364"/>
    </i>
    <i r="2">
      <x v="278"/>
      <x v="361"/>
    </i>
    <i r="1">
      <x v="23"/>
      <x v="251"/>
      <x v="115"/>
    </i>
    <i r="2">
      <x v="252"/>
      <x v="114"/>
    </i>
    <i r="1">
      <x v="45"/>
      <x v="279"/>
      <x v="179"/>
    </i>
    <i r="2">
      <x v="280"/>
      <x v="195"/>
    </i>
    <i r="2">
      <x v="281"/>
      <x v="196"/>
    </i>
    <i r="2">
      <x v="282"/>
      <x v="170"/>
    </i>
    <i r="2">
      <x v="283"/>
      <x v="197"/>
    </i>
    <i r="2">
      <x v="437"/>
      <x v="446"/>
    </i>
    <i r="2">
      <x v="438"/>
      <x v="447"/>
    </i>
    <i r="1">
      <x v="66"/>
      <x v="258"/>
      <x v="275"/>
    </i>
    <i r="2">
      <x v="259"/>
      <x v="270"/>
    </i>
    <i r="2">
      <x v="260"/>
      <x v="272"/>
    </i>
    <i r="2">
      <x v="261"/>
      <x v="273"/>
    </i>
    <i r="2">
      <x v="262"/>
      <x v="270"/>
    </i>
    <i r="2">
      <x v="263"/>
      <x v="276"/>
    </i>
    <i r="2">
      <x v="439"/>
      <x v="448"/>
    </i>
    <i r="1">
      <x v="67"/>
      <x v="264"/>
      <x v="274"/>
    </i>
    <i>
      <x v="6"/>
      <x v="14"/>
      <x v="119"/>
      <x v="84"/>
    </i>
    <i r="2">
      <x v="131"/>
      <x v="90"/>
    </i>
    <i>
      <x v="7"/>
      <x v="6"/>
      <x v="370"/>
      <x v="96"/>
    </i>
    <i r="2">
      <x v="372"/>
      <x v="42"/>
    </i>
    <i r="1">
      <x v="21"/>
      <x v="132"/>
      <x v="211"/>
    </i>
    <i>
      <x v="8"/>
      <x v="19"/>
      <x v="388"/>
      <x v="101"/>
    </i>
    <i>
      <x v="9"/>
      <x v="21"/>
      <x v="374"/>
      <x v="110"/>
    </i>
    <i>
      <x v="10"/>
      <x v="63"/>
      <x v="373"/>
      <x v="267"/>
    </i>
    <i r="2">
      <x v="399"/>
      <x v="268"/>
    </i>
    <i r="1">
      <x v="105"/>
      <x v="193"/>
      <x v="397"/>
    </i>
    <i r="2">
      <x v="194"/>
      <x v="398"/>
    </i>
    <i>
      <x v="11"/>
      <x v="13"/>
      <x v="367"/>
      <x v="123"/>
    </i>
    <i r="1">
      <x v="114"/>
      <x v="369"/>
      <x v="121"/>
    </i>
    <i>
      <x v="12"/>
      <x v="34"/>
      <x v="106"/>
      <x v="139"/>
    </i>
    <i>
      <x v="13"/>
      <x v="26"/>
      <x v="396"/>
      <x v="350"/>
    </i>
    <i>
      <x v="14"/>
      <x v="89"/>
      <x v="362"/>
      <x v="367"/>
    </i>
    <i>
      <x v="15"/>
      <x v="29"/>
      <x v="57"/>
      <x v="304"/>
    </i>
    <i r="2">
      <x v="389"/>
      <x v="127"/>
    </i>
    <i>
      <x v="16"/>
      <x v="14"/>
      <x v="173"/>
      <x v="88"/>
    </i>
    <i r="2">
      <x v="174"/>
      <x v="89"/>
    </i>
    <i>
      <x v="17"/>
      <x v="33"/>
      <x v="393"/>
      <x v="137"/>
    </i>
    <i r="2">
      <x v="394"/>
      <x v="138"/>
    </i>
    <i>
      <x v="18"/>
      <x v="61"/>
      <x v="285"/>
      <x v="259"/>
    </i>
    <i r="2">
      <x v="286"/>
      <x v="258"/>
    </i>
    <i>
      <x v="19"/>
      <x v="60"/>
      <x v="40"/>
      <x v="255"/>
    </i>
    <i>
      <x v="20"/>
      <x v="37"/>
      <x v="342"/>
      <x v="130"/>
    </i>
    <i>
      <x v="21"/>
      <x v="107"/>
      <x v="338"/>
      <x v="408"/>
    </i>
    <i>
      <x v="22"/>
      <x v="42"/>
      <x v="175"/>
      <x v="358"/>
    </i>
    <i>
      <x v="23"/>
      <x v="43"/>
      <x v="176"/>
      <x v="285"/>
    </i>
    <i r="2">
      <x v="247"/>
      <x v="57"/>
    </i>
    <i r="2">
      <x v="249"/>
      <x v="168"/>
    </i>
    <i r="2">
      <x v="250"/>
      <x v="169"/>
    </i>
    <i>
      <x v="24"/>
      <x v="103"/>
      <x v="104"/>
      <x v="390"/>
    </i>
    <i r="2">
      <x v="105"/>
      <x v="389"/>
    </i>
    <i>
      <x v="25"/>
      <x v="48"/>
      <x v="86"/>
      <x v="182"/>
    </i>
    <i r="2">
      <x v="87"/>
      <x v="181"/>
    </i>
    <i>
      <x v="26"/>
      <x v="54"/>
      <x v="171"/>
      <x v="200"/>
    </i>
    <i r="2">
      <x v="172"/>
      <x v="199"/>
    </i>
    <i>
      <x v="27"/>
      <x v="51"/>
      <x v="54"/>
      <x v="191"/>
    </i>
    <i r="2">
      <x v="55"/>
      <x v="192"/>
    </i>
    <i>
      <x v="28"/>
      <x v="55"/>
      <x v="405"/>
      <x v="210"/>
    </i>
    <i r="2">
      <x v="406"/>
      <x v="209"/>
    </i>
    <i r="2">
      <x v="407"/>
      <x v="208"/>
    </i>
    <i r="2">
      <x v="408"/>
      <x v="207"/>
    </i>
    <i r="2">
      <x v="409"/>
      <x v="206"/>
    </i>
    <i>
      <x v="29"/>
      <x v="3"/>
      <x v="135"/>
      <x v="217"/>
    </i>
    <i r="1">
      <x v="9"/>
      <x v="141"/>
      <x v="221"/>
    </i>
    <i r="1">
      <x v="38"/>
      <x v="136"/>
      <x v="228"/>
    </i>
    <i r="1">
      <x v="40"/>
      <x v="146"/>
      <x v="230"/>
    </i>
    <i r="2">
      <x v="147"/>
      <x v="225"/>
    </i>
    <i r="2">
      <x v="162"/>
      <x v="231"/>
    </i>
    <i r="1">
      <x v="57"/>
      <x v="158"/>
      <x v="226"/>
    </i>
    <i r="1">
      <x v="58"/>
      <x v="144"/>
      <x v="227"/>
    </i>
    <i r="1">
      <x v="80"/>
      <x v="137"/>
      <x v="239"/>
    </i>
    <i r="1">
      <x v="88"/>
      <x v="159"/>
      <x v="243"/>
    </i>
    <i r="1">
      <x v="95"/>
      <x v="133"/>
      <x v="233"/>
    </i>
    <i r="2">
      <x v="134"/>
      <x v="215"/>
    </i>
    <i r="2">
      <x v="138"/>
      <x v="245"/>
    </i>
    <i r="2">
      <x v="139"/>
      <x v="223"/>
    </i>
    <i r="2">
      <x v="140"/>
      <x v="158"/>
    </i>
    <i r="2">
      <x v="142"/>
      <x v="244"/>
    </i>
    <i r="2">
      <x v="143"/>
      <x v="232"/>
    </i>
    <i r="2">
      <x v="145"/>
      <x v="246"/>
    </i>
    <i r="2">
      <x v="148"/>
      <x v="216"/>
    </i>
    <i r="2">
      <x v="149"/>
      <x v="238"/>
    </i>
    <i r="2">
      <x v="150"/>
      <x v="222"/>
    </i>
    <i r="2">
      <x v="151"/>
      <x v="236"/>
    </i>
    <i r="2">
      <x v="152"/>
      <x v="229"/>
    </i>
    <i r="2">
      <x v="153"/>
      <x v="218"/>
    </i>
    <i r="2">
      <x v="154"/>
      <x v="220"/>
    </i>
    <i r="2">
      <x v="155"/>
      <x v="240"/>
    </i>
    <i r="2">
      <x v="156"/>
      <x v="237"/>
    </i>
    <i r="2">
      <x v="157"/>
      <x v="219"/>
    </i>
    <i r="2">
      <x v="160"/>
      <x v="234"/>
    </i>
    <i r="2">
      <x v="161"/>
      <x v="235"/>
    </i>
    <i r="2">
      <x v="163"/>
      <x v="224"/>
    </i>
    <i r="2">
      <x v="164"/>
      <x v="49"/>
    </i>
    <i r="2">
      <x v="165"/>
      <x v="242"/>
    </i>
    <i r="2">
      <x v="166"/>
      <x v="241"/>
    </i>
    <i r="2">
      <x v="167"/>
      <x v="247"/>
    </i>
    <i r="2">
      <x v="168"/>
      <x v="50"/>
    </i>
    <i r="2">
      <x v="404"/>
      <x v="94"/>
    </i>
    <i>
      <x v="30"/>
      <x v="8"/>
      <x v="297"/>
      <x v="47"/>
    </i>
    <i r="1">
      <x v="22"/>
      <x v="296"/>
      <x v="112"/>
    </i>
    <i r="2">
      <x v="298"/>
      <x v="113"/>
    </i>
    <i r="2">
      <x v="299"/>
      <x v="111"/>
    </i>
    <i>
      <x v="31"/>
      <x v="68"/>
      <x v="400"/>
      <x v="252"/>
    </i>
    <i r="2">
      <x v="401"/>
      <x v="250"/>
    </i>
    <i r="2">
      <x v="402"/>
      <x v="251"/>
    </i>
    <i r="2">
      <x v="403"/>
      <x v="249"/>
    </i>
    <i>
      <x v="32"/>
      <x v="62"/>
      <x v="237"/>
      <x v="261"/>
    </i>
    <i r="2">
      <x v="238"/>
      <x v="263"/>
    </i>
    <i r="2">
      <x v="239"/>
      <x v="264"/>
    </i>
    <i r="2">
      <x v="240"/>
      <x v="265"/>
    </i>
    <i r="2">
      <x v="241"/>
      <x v="266"/>
    </i>
    <i r="2">
      <x v="242"/>
      <x v="262"/>
    </i>
    <i r="2">
      <x v="243"/>
      <x v="260"/>
    </i>
    <i>
      <x v="33"/>
      <x v="109"/>
      <x v="177"/>
      <x v="416"/>
    </i>
    <i r="2">
      <x v="181"/>
      <x v="415"/>
    </i>
    <i>
      <x v="34"/>
      <x v="71"/>
      <x v="189"/>
      <x v="3"/>
    </i>
    <i>
      <x v="35"/>
      <x v="73"/>
      <x v="390"/>
      <x v="432"/>
    </i>
    <i r="2">
      <x v="418"/>
      <x v="287"/>
    </i>
    <i r="2">
      <x v="419"/>
      <x v="284"/>
    </i>
    <i>
      <x v="36"/>
      <x v="1"/>
      <x v="245"/>
      <x v="7"/>
    </i>
    <i r="1">
      <x v="68"/>
      <x v="244"/>
      <x v="277"/>
    </i>
    <i r="2">
      <x v="417"/>
      <x v="46"/>
    </i>
    <i r="1">
      <x v="69"/>
      <x v="228"/>
      <x v="279"/>
    </i>
    <i r="2">
      <x v="230"/>
      <x v="278"/>
    </i>
    <i r="1">
      <x v="78"/>
      <x v="42"/>
      <x v="292"/>
    </i>
    <i r="2">
      <x v="129"/>
      <x v="356"/>
    </i>
    <i r="1">
      <x v="86"/>
      <x v="229"/>
      <x v="301"/>
    </i>
    <i>
      <x v="37"/>
      <x v="76"/>
      <x v="195"/>
      <x v="294"/>
    </i>
    <i r="2">
      <x v="196"/>
      <x v="293"/>
    </i>
    <i r="2">
      <x v="197"/>
      <x v="291"/>
    </i>
    <i r="2">
      <x v="198"/>
      <x v="290"/>
    </i>
    <i>
      <x v="38"/>
      <x v="77"/>
      <x v="339"/>
      <x v="409"/>
    </i>
    <i r="2">
      <x v="340"/>
      <x v="201"/>
    </i>
    <i>
      <x v="39"/>
      <x v="36"/>
      <x v="235"/>
      <x v="146"/>
    </i>
    <i r="2">
      <x v="236"/>
      <x v="147"/>
    </i>
    <i>
      <x v="40"/>
      <x v="18"/>
      <x v="121"/>
      <x v="97"/>
    </i>
    <i r="1">
      <x v="32"/>
      <x v="120"/>
      <x v="135"/>
    </i>
    <i r="2">
      <x v="398"/>
      <x v="136"/>
    </i>
    <i r="1">
      <x v="83"/>
      <x v="122"/>
      <x v="299"/>
    </i>
    <i>
      <x v="41"/>
      <x v="15"/>
      <x v="107"/>
      <x v="13"/>
    </i>
    <i r="2">
      <x v="113"/>
      <x v="93"/>
    </i>
    <i r="1">
      <x v="35"/>
      <x v="170"/>
      <x v="212"/>
    </i>
    <i r="2">
      <x v="184"/>
      <x v="142"/>
    </i>
    <i r="2">
      <x v="185"/>
      <x v="102"/>
    </i>
    <i r="1">
      <x v="44"/>
      <x v="392"/>
      <x v="38"/>
    </i>
    <i r="1">
      <x v="52"/>
      <x v="391"/>
      <x v="283"/>
    </i>
    <i r="1">
      <x v="74"/>
      <x v="186"/>
      <x v="103"/>
    </i>
    <i r="1">
      <x v="79"/>
      <x v="182"/>
      <x v="280"/>
    </i>
    <i r="1">
      <x v="85"/>
      <x v="192"/>
      <x v="15"/>
    </i>
    <i r="1">
      <x v="97"/>
      <x v="178"/>
      <x v="370"/>
    </i>
    <i r="2">
      <x v="179"/>
      <x v="368"/>
    </i>
    <i r="2">
      <x v="183"/>
      <x v="369"/>
    </i>
    <i>
      <x v="42"/>
      <x v="70"/>
      <x v="291"/>
      <x v="412"/>
    </i>
    <i r="1">
      <x v="75"/>
      <x v="290"/>
      <x v="289"/>
    </i>
    <i r="2">
      <x v="295"/>
      <x v="288"/>
    </i>
    <i r="1">
      <x v="84"/>
      <x v="287"/>
      <x v="300"/>
    </i>
    <i r="2">
      <x v="289"/>
      <x v="423"/>
    </i>
    <i r="2">
      <x v="292"/>
      <x v="281"/>
    </i>
    <i r="2">
      <x v="293"/>
      <x v="282"/>
    </i>
    <i r="2">
      <x v="294"/>
      <x v="198"/>
    </i>
    <i r="1">
      <x v="111"/>
      <x v="169"/>
      <x v="120"/>
    </i>
    <i r="2">
      <x v="288"/>
      <x v="413"/>
    </i>
    <i>
      <x v="43"/>
      <x v="87"/>
      <x v="60"/>
      <x v="303"/>
    </i>
    <i r="2">
      <x v="61"/>
      <x v="302"/>
    </i>
    <i r="2">
      <x v="387"/>
      <x v="296"/>
    </i>
    <i>
      <x v="44"/>
      <x v="96"/>
      <x v="199"/>
      <x v="322"/>
    </i>
    <i r="2">
      <x v="200"/>
      <x v="310"/>
    </i>
    <i r="2">
      <x v="201"/>
      <x v="329"/>
    </i>
    <i r="2">
      <x v="202"/>
      <x v="314"/>
    </i>
    <i r="2">
      <x v="203"/>
      <x v="327"/>
    </i>
    <i r="2">
      <x v="204"/>
      <x v="320"/>
    </i>
    <i r="2">
      <x v="205"/>
      <x v="326"/>
    </i>
    <i r="2">
      <x v="206"/>
      <x v="307"/>
    </i>
    <i r="2">
      <x v="207"/>
      <x v="333"/>
    </i>
    <i r="2">
      <x v="208"/>
      <x v="330"/>
    </i>
    <i r="2">
      <x v="209"/>
      <x v="321"/>
    </i>
    <i r="2">
      <x v="210"/>
      <x v="312"/>
    </i>
    <i r="2">
      <x v="211"/>
      <x v="352"/>
    </i>
    <i r="2">
      <x v="212"/>
      <x v="315"/>
    </i>
    <i r="2">
      <x v="213"/>
      <x v="309"/>
    </i>
    <i r="2">
      <x v="214"/>
      <x v="334"/>
    </i>
    <i r="2">
      <x v="215"/>
      <x v="325"/>
    </i>
    <i r="2">
      <x v="216"/>
      <x v="331"/>
    </i>
    <i r="2">
      <x v="217"/>
      <x v="308"/>
    </i>
    <i r="2">
      <x v="218"/>
      <x v="328"/>
    </i>
    <i r="2">
      <x v="219"/>
      <x v="324"/>
    </i>
    <i r="2">
      <x v="220"/>
      <x v="323"/>
    </i>
    <i r="2">
      <x v="221"/>
      <x v="318"/>
    </i>
    <i r="2">
      <x v="222"/>
      <x v="316"/>
    </i>
    <i r="2">
      <x v="223"/>
      <x v="311"/>
    </i>
    <i r="2">
      <x v="224"/>
      <x v="332"/>
    </i>
    <i r="2">
      <x v="225"/>
      <x v="313"/>
    </i>
    <i r="2">
      <x v="226"/>
      <x v="317"/>
    </i>
    <i r="2">
      <x v="227"/>
      <x v="319"/>
    </i>
    <i>
      <x v="45"/>
      <x v="90"/>
      <x v="350"/>
      <x v="340"/>
    </i>
    <i r="2">
      <x v="351"/>
      <x v="341"/>
    </i>
    <i r="2">
      <x v="352"/>
      <x v="336"/>
    </i>
    <i r="2">
      <x v="353"/>
      <x v="337"/>
    </i>
    <i r="2">
      <x v="354"/>
      <x v="346"/>
    </i>
    <i r="2">
      <x v="355"/>
      <x v="345"/>
    </i>
    <i r="2">
      <x v="356"/>
      <x v="344"/>
    </i>
    <i r="2">
      <x v="357"/>
      <x v="338"/>
    </i>
    <i r="2">
      <x v="358"/>
      <x v="339"/>
    </i>
    <i r="2">
      <x v="359"/>
      <x v="343"/>
    </i>
    <i r="2">
      <x v="360"/>
      <x v="342"/>
    </i>
    <i r="2">
      <x v="361"/>
      <x v="335"/>
    </i>
    <i r="2">
      <x v="386"/>
      <x v="72"/>
    </i>
    <i r="2">
      <x v="429"/>
      <x v="438"/>
    </i>
    <i r="2">
      <x v="430"/>
      <x v="439"/>
    </i>
    <i>
      <x v="46"/>
      <x v="2"/>
      <x v="3"/>
      <x v="11"/>
    </i>
    <i r="1">
      <x v="91"/>
      <x v="4"/>
      <x v="10"/>
    </i>
    <i>
      <x v="47"/>
      <x v="93"/>
      <x v="375"/>
      <x v="357"/>
    </i>
    <i r="2">
      <x v="397"/>
      <x v="162"/>
    </i>
    <i>
      <x v="48"/>
      <x v="99"/>
      <x v="379"/>
      <x v="380"/>
    </i>
    <i r="2">
      <x v="381"/>
      <x v="376"/>
    </i>
    <i r="2">
      <x v="382"/>
      <x v="375"/>
    </i>
    <i r="1">
      <x v="100"/>
      <x v="377"/>
      <x v="378"/>
    </i>
    <i r="2">
      <x v="378"/>
      <x v="377"/>
    </i>
    <i r="2">
      <x v="380"/>
      <x v="379"/>
    </i>
    <i>
      <x v="49"/>
      <x v="106"/>
      <x v="231"/>
      <x v="402"/>
    </i>
    <i r="2">
      <x v="232"/>
      <x v="404"/>
    </i>
    <i r="2">
      <x v="233"/>
      <x v="403"/>
    </i>
    <i r="2">
      <x v="234"/>
      <x v="405"/>
    </i>
    <i r="2">
      <x v="343"/>
      <x v="401"/>
    </i>
    <i r="2">
      <x v="344"/>
      <x v="400"/>
    </i>
    <i r="2">
      <x v="345"/>
      <x v="406"/>
    </i>
    <i r="2">
      <x v="346"/>
      <x v="399"/>
    </i>
    <i>
      <x v="50"/>
      <x v="27"/>
      <x v="88"/>
      <x v="124"/>
    </i>
    <i r="1">
      <x v="108"/>
      <x v="347"/>
      <x v="410"/>
    </i>
    <i>
      <x v="51"/>
      <x v="110"/>
      <x v="37"/>
      <x v="421"/>
    </i>
    <i r="2">
      <x v="190"/>
      <x v="422"/>
    </i>
    <i r="2">
      <x v="191"/>
      <x v="286"/>
    </i>
    <i r="2">
      <x v="383"/>
      <x v="420"/>
    </i>
    <i r="2">
      <x v="384"/>
      <x v="419"/>
    </i>
    <i r="2">
      <x v="385"/>
      <x v="348"/>
    </i>
    <i>
      <x v="52"/>
      <x v="13"/>
      <x v="300"/>
      <x v="74"/>
    </i>
    <i r="2">
      <x v="301"/>
      <x v="73"/>
    </i>
    <i r="1">
      <x v="20"/>
      <x v="318"/>
      <x v="105"/>
    </i>
    <i r="2">
      <x v="331"/>
      <x v="107"/>
    </i>
    <i r="2">
      <x v="332"/>
      <x v="104"/>
    </i>
    <i r="1">
      <x v="39"/>
      <x v="302"/>
      <x v="160"/>
    </i>
    <i r="2">
      <x v="432"/>
      <x v="441"/>
    </i>
    <i r="1">
      <x v="41"/>
      <x v="303"/>
      <x v="48"/>
    </i>
    <i r="1">
      <x v="46"/>
      <x v="313"/>
      <x v="174"/>
    </i>
    <i r="2">
      <x v="317"/>
      <x v="178"/>
    </i>
    <i r="2">
      <x v="329"/>
      <x v="176"/>
    </i>
    <i r="2">
      <x v="330"/>
      <x v="177"/>
    </i>
    <i r="2">
      <x v="433"/>
      <x v="442"/>
    </i>
    <i r="2">
      <x v="434"/>
      <x v="443"/>
    </i>
    <i r="1">
      <x v="47"/>
      <x v="310"/>
      <x v="172"/>
    </i>
    <i r="2">
      <x v="316"/>
      <x v="171"/>
    </i>
    <i r="2">
      <x v="435"/>
      <x v="444"/>
    </i>
    <i r="1">
      <x v="49"/>
      <x v="309"/>
      <x v="186"/>
    </i>
    <i r="2">
      <x v="312"/>
      <x v="189"/>
    </i>
    <i r="2">
      <x v="333"/>
      <x v="188"/>
    </i>
    <i r="2">
      <x v="334"/>
      <x v="184"/>
    </i>
    <i r="2">
      <x v="335"/>
      <x v="185"/>
    </i>
    <i r="2">
      <x v="336"/>
      <x v="187"/>
    </i>
    <i r="2">
      <x v="436"/>
      <x v="445"/>
    </i>
    <i r="1">
      <x v="60"/>
      <x v="304"/>
      <x v="256"/>
    </i>
    <i r="2">
      <x v="305"/>
      <x v="257"/>
    </i>
    <i r="2">
      <x v="306"/>
      <x v="254"/>
    </i>
    <i r="1">
      <x v="82"/>
      <x v="315"/>
      <x v="298"/>
    </i>
    <i r="1">
      <x v="101"/>
      <x v="311"/>
      <x v="384"/>
    </i>
    <i r="2">
      <x v="320"/>
      <x v="382"/>
    </i>
    <i r="2">
      <x v="321"/>
      <x v="383"/>
    </i>
    <i r="2">
      <x v="322"/>
      <x v="381"/>
    </i>
    <i r="1">
      <x v="102"/>
      <x v="325"/>
      <x v="366"/>
    </i>
    <i r="2">
      <x v="326"/>
      <x v="437"/>
    </i>
    <i r="2">
      <x v="327"/>
      <x v="386"/>
    </i>
    <i r="2">
      <x v="328"/>
      <x v="388"/>
    </i>
    <i r="1">
      <x v="104"/>
      <x v="314"/>
      <x v="297"/>
    </i>
    <i r="2">
      <x v="319"/>
      <x v="394"/>
    </i>
    <i r="2">
      <x v="323"/>
      <x v="395"/>
    </i>
    <i r="2">
      <x v="324"/>
      <x v="392"/>
    </i>
    <i r="2">
      <x v="337"/>
      <x v="391"/>
    </i>
    <i r="1">
      <x v="112"/>
      <x v="307"/>
      <x v="428"/>
    </i>
    <i r="2">
      <x v="308"/>
      <x v="427"/>
    </i>
    <i>
      <x v="53"/>
      <x v="113"/>
      <x v="349"/>
      <x v="430"/>
    </i>
    <i>
      <x v="54"/>
      <x v="115"/>
      <x v="39"/>
      <x v="433"/>
    </i>
    <i>
      <x v="55"/>
      <x v="116"/>
      <x v="5"/>
      <x v="163"/>
    </i>
    <i r="2">
      <x v="364"/>
      <x v="434"/>
    </i>
    <i r="2">
      <x v="365"/>
      <x v="435"/>
    </i>
    <i r="2">
      <x v="366"/>
      <x v="436"/>
    </i>
    <i t="grand">
      <x/>
    </i>
  </rowItems>
  <colFields count="1">
    <field x="-2"/>
  </colFields>
  <colItems count="2">
    <i>
      <x/>
    </i>
    <i i="1">
      <x v="1"/>
    </i>
  </colItems>
  <dataFields count="2">
    <dataField name=" QTY" fld="6" baseField="0" baseItem="0"/>
    <dataField name=" TP" fld="8" baseField="0" baseItem="0" numFmtId="168"/>
  </dataFields>
  <formats count="20">
    <format dxfId="221">
      <pivotArea outline="0" collapsedLevelsAreSubtotals="1" fieldPosition="0"/>
    </format>
    <format dxfId="220">
      <pivotArea dataOnly="0" labelOnly="1" grandRow="1" outline="0" fieldPosition="0"/>
    </format>
    <format dxfId="219">
      <pivotArea outline="0" collapsedLevelsAreSubtotals="1" fieldPosition="0"/>
    </format>
    <format dxfId="218">
      <pivotArea dataOnly="0" labelOnly="1" grandRow="1" outline="0" fieldPosition="0"/>
    </format>
    <format dxfId="217">
      <pivotArea dataOnly="0" labelOnly="1" outline="0" fieldPosition="0">
        <references count="2">
          <reference field="2" count="1" selected="0">
            <x v="90"/>
          </reference>
          <reference field="3" count="3">
            <x v="429"/>
            <x v="430"/>
            <x v="431"/>
          </reference>
        </references>
      </pivotArea>
    </format>
    <format dxfId="216">
      <pivotArea dataOnly="0" labelOnly="1" outline="0" fieldPosition="0">
        <references count="2">
          <reference field="2" count="1" selected="0">
            <x v="39"/>
          </reference>
          <reference field="3" count="1">
            <x v="432"/>
          </reference>
        </references>
      </pivotArea>
    </format>
    <format dxfId="215">
      <pivotArea dataOnly="0" labelOnly="1" outline="0" fieldPosition="0">
        <references count="2">
          <reference field="2" count="1" selected="0">
            <x v="39"/>
          </reference>
          <reference field="3" count="1">
            <x v="432"/>
          </reference>
        </references>
      </pivotArea>
    </format>
    <format dxfId="214">
      <pivotArea dataOnly="0" labelOnly="1" outline="0" fieldPosition="0">
        <references count="2">
          <reference field="2" count="1" selected="0">
            <x v="46"/>
          </reference>
          <reference field="3" count="2">
            <x v="433"/>
            <x v="434"/>
          </reference>
        </references>
      </pivotArea>
    </format>
    <format dxfId="213">
      <pivotArea dataOnly="0" labelOnly="1" outline="0" fieldPosition="0">
        <references count="2">
          <reference field="2" count="1" selected="0">
            <x v="46"/>
          </reference>
          <reference field="3" count="2">
            <x v="433"/>
            <x v="434"/>
          </reference>
        </references>
      </pivotArea>
    </format>
    <format dxfId="212">
      <pivotArea dataOnly="0" labelOnly="1" outline="0" fieldPosition="0">
        <references count="2">
          <reference field="2" count="1" selected="0">
            <x v="47"/>
          </reference>
          <reference field="3" count="1">
            <x v="435"/>
          </reference>
        </references>
      </pivotArea>
    </format>
    <format dxfId="211">
      <pivotArea dataOnly="0" labelOnly="1" outline="0" fieldPosition="0">
        <references count="2">
          <reference field="2" count="1" selected="0">
            <x v="47"/>
          </reference>
          <reference field="3" count="1">
            <x v="435"/>
          </reference>
        </references>
      </pivotArea>
    </format>
    <format dxfId="210">
      <pivotArea dataOnly="0" labelOnly="1" outline="0" fieldPosition="0">
        <references count="2">
          <reference field="2" count="1" selected="0">
            <x v="49"/>
          </reference>
          <reference field="3" count="1">
            <x v="436"/>
          </reference>
        </references>
      </pivotArea>
    </format>
    <format dxfId="209">
      <pivotArea dataOnly="0" labelOnly="1" outline="0" fieldPosition="0">
        <references count="2">
          <reference field="2" count="1" selected="0">
            <x v="49"/>
          </reference>
          <reference field="3" count="1">
            <x v="436"/>
          </reference>
        </references>
      </pivotArea>
    </format>
    <format dxfId="208">
      <pivotArea dataOnly="0" labelOnly="1" outline="0" fieldPosition="0">
        <references count="2">
          <reference field="2" count="1" selected="0">
            <x v="7"/>
          </reference>
          <reference field="3" count="1">
            <x v="0"/>
          </reference>
        </references>
      </pivotArea>
    </format>
    <format dxfId="207">
      <pivotArea dataOnly="0" labelOnly="1" outline="0" fieldPosition="0">
        <references count="2">
          <reference field="2" count="1" selected="0">
            <x v="7"/>
          </reference>
          <reference field="3" count="1">
            <x v="0"/>
          </reference>
        </references>
      </pivotArea>
    </format>
    <format dxfId="206">
      <pivotArea dataOnly="0" labelOnly="1" outline="0" fieldPosition="0">
        <references count="2">
          <reference field="2" count="1" selected="0">
            <x v="2"/>
          </reference>
          <reference field="3" count="1">
            <x v="3"/>
          </reference>
        </references>
      </pivotArea>
    </format>
    <format dxfId="205">
      <pivotArea dataOnly="0" labelOnly="1" outline="0" fieldPosition="0">
        <references count="2">
          <reference field="2" count="1" selected="0">
            <x v="2"/>
          </reference>
          <reference field="3" count="1">
            <x v="3"/>
          </reference>
        </references>
      </pivotArea>
    </format>
    <format dxfId="3">
      <pivotArea outline="0" fieldPosition="0">
        <references count="1">
          <reference field="4294967294" count="1" selected="0">
            <x v="1"/>
          </reference>
        </references>
      </pivotArea>
    </format>
    <format dxfId="1">
      <pivotArea dataOnly="0" labelOnly="1" outline="0" fieldPosition="0">
        <references count="1">
          <reference field="4294967294" count="1">
            <x v="1"/>
          </reference>
        </references>
      </pivotArea>
    </format>
    <format dxfId="0">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00000000-0013-0000-FFFF-FFFF01000000}" sourceName="Company ">
  <pivotTables>
    <pivotTable tabId="4" name="PivotTable1"/>
  </pivotTables>
  <data>
    <tabular pivotCacheId="1">
      <items count="56">
        <i x="21" s="1"/>
        <i x="20" s="1"/>
        <i x="23" s="1"/>
        <i x="50" s="1"/>
        <i x="0" s="1"/>
        <i x="44" s="1"/>
        <i x="4" s="1"/>
        <i x="47" s="1"/>
        <i x="46" s="1"/>
        <i x="48" s="1"/>
        <i x="49" s="1"/>
        <i x="14" s="1"/>
        <i x="41" s="1"/>
        <i x="22" s="1"/>
        <i x="42" s="1"/>
        <i x="25" s="1"/>
        <i x="36" s="1"/>
        <i x="5" s="1"/>
        <i x="7" s="1"/>
        <i x="13" s="1"/>
        <i x="37" s="1"/>
        <i x="11" s="1"/>
        <i x="19" s="1"/>
        <i x="17" s="1"/>
        <i x="51" s="1"/>
        <i x="39" s="1"/>
        <i x="45" s="1"/>
        <i x="6" s="1"/>
        <i x="33" s="1"/>
        <i x="29" s="1"/>
        <i x="15" s="1"/>
        <i x="32" s="1"/>
        <i x="40" s="1"/>
        <i x="43" s="1"/>
        <i x="27" s="1"/>
        <i x="9" s="1"/>
        <i x="34" s="1"/>
        <i x="8" s="1"/>
        <i x="26" s="1"/>
        <i x="52" s="1"/>
        <i x="1" s="1"/>
        <i x="3" s="1"/>
        <i x="24" s="1"/>
        <i x="38" s="1"/>
        <i x="30" s="1"/>
        <i x="31" s="1"/>
        <i x="55" s="1"/>
        <i x="28" s="1"/>
        <i x="12" s="1"/>
        <i x="54" s="1"/>
        <i x="2" s="1"/>
        <i x="10" s="1"/>
        <i x="35" s="1"/>
        <i x="53" s="1"/>
        <i x="16"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 xr10:uid="{00000000-0014-0000-FFFF-FFFF01000000}" cache="Slicer_Company" caption="Company " startItem="29"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35"/>
  <sheetViews>
    <sheetView showGridLines="0" workbookViewId="0">
      <selection activeCell="C18" sqref="C17:C18"/>
    </sheetView>
  </sheetViews>
  <sheetFormatPr defaultRowHeight="14.5" x14ac:dyDescent="0.35"/>
  <cols>
    <col min="1" max="1" width="13.54296875" customWidth="1"/>
    <col min="2" max="2" width="23.1796875" bestFit="1" customWidth="1"/>
    <col min="3" max="3" width="19.1796875" bestFit="1" customWidth="1"/>
    <col min="4" max="4" width="12.54296875" customWidth="1"/>
    <col min="5" max="5" width="33.7265625" customWidth="1"/>
    <col min="6" max="6" width="8.453125" customWidth="1"/>
    <col min="7" max="7" width="6" customWidth="1"/>
    <col min="8" max="8" width="9.26953125" customWidth="1"/>
    <col min="9" max="9" width="6.7265625" customWidth="1"/>
    <col min="10" max="10" width="10" customWidth="1"/>
    <col min="11" max="12" width="11.7265625" bestFit="1" customWidth="1"/>
  </cols>
  <sheetData>
    <row r="1" spans="1:13" ht="2.65" customHeight="1" x14ac:dyDescent="0.35"/>
    <row r="2" spans="1:13" x14ac:dyDescent="0.35">
      <c r="C2" s="37"/>
      <c r="D2" s="37"/>
      <c r="E2" s="37"/>
    </row>
    <row r="3" spans="1:13" x14ac:dyDescent="0.35">
      <c r="C3" s="37"/>
      <c r="D3" s="37"/>
      <c r="E3" s="37"/>
      <c r="K3" s="37"/>
      <c r="L3" s="37"/>
    </row>
    <row r="4" spans="1:13" x14ac:dyDescent="0.35">
      <c r="C4" s="37"/>
      <c r="D4" s="37"/>
      <c r="E4" s="37"/>
    </row>
    <row r="5" spans="1:13" ht="4" customHeight="1" x14ac:dyDescent="0.35"/>
    <row r="6" spans="1:13" x14ac:dyDescent="0.35">
      <c r="G6" s="38" t="s">
        <v>0</v>
      </c>
      <c r="H6" s="38" t="s">
        <v>1</v>
      </c>
      <c r="I6" s="37"/>
    </row>
    <row r="7" spans="1:13" x14ac:dyDescent="0.35">
      <c r="C7" s="37"/>
      <c r="D7" s="37"/>
      <c r="E7" s="37"/>
      <c r="G7" s="39"/>
      <c r="H7" s="39"/>
      <c r="I7" s="37"/>
    </row>
    <row r="8" spans="1:13" x14ac:dyDescent="0.35">
      <c r="G8" s="39"/>
      <c r="H8" s="39"/>
      <c r="I8" s="37"/>
    </row>
    <row r="9" spans="1:13" x14ac:dyDescent="0.35">
      <c r="H9" s="39"/>
      <c r="I9" s="37"/>
    </row>
    <row r="10" spans="1:13" ht="2.15" customHeight="1" x14ac:dyDescent="0.35"/>
    <row r="11" spans="1:13" ht="25.5" customHeight="1" x14ac:dyDescent="0.35">
      <c r="A11" s="1" t="s">
        <v>2</v>
      </c>
      <c r="B11" s="1" t="s">
        <v>3</v>
      </c>
      <c r="C11" s="1" t="s">
        <v>4</v>
      </c>
      <c r="D11" s="1" t="s">
        <v>5</v>
      </c>
      <c r="E11" s="1" t="s">
        <v>6</v>
      </c>
      <c r="F11" s="2" t="s">
        <v>7</v>
      </c>
      <c r="G11" s="2" t="s">
        <v>1823</v>
      </c>
      <c r="H11" s="2" t="s">
        <v>1825</v>
      </c>
      <c r="I11" s="2" t="s">
        <v>1824</v>
      </c>
      <c r="J11" s="2" t="s">
        <v>8</v>
      </c>
      <c r="K11" s="2" t="s">
        <v>9</v>
      </c>
      <c r="L11" s="2" t="s">
        <v>10</v>
      </c>
    </row>
    <row r="12" spans="1:13" ht="15" customHeight="1" x14ac:dyDescent="0.35">
      <c r="A12" s="3" t="s">
        <v>12</v>
      </c>
      <c r="B12" s="3" t="s">
        <v>13</v>
      </c>
      <c r="C12" s="3" t="s">
        <v>108</v>
      </c>
      <c r="D12" s="4" t="s">
        <v>19</v>
      </c>
      <c r="E12" s="4" t="s">
        <v>20</v>
      </c>
      <c r="F12" s="5">
        <v>0.5</v>
      </c>
      <c r="G12" s="10">
        <v>1</v>
      </c>
      <c r="H12" s="7">
        <v>119</v>
      </c>
      <c r="I12" s="7">
        <v>160</v>
      </c>
      <c r="J12" s="7">
        <v>160</v>
      </c>
      <c r="K12" s="7">
        <f t="shared" ref="K12:K75" si="0">H12*G12</f>
        <v>119</v>
      </c>
      <c r="L12" s="7">
        <f t="shared" ref="L12:L75" si="1">I12*G12</f>
        <v>160</v>
      </c>
      <c r="M12" s="14">
        <f t="shared" ref="M12:M75" si="2">J12*G12</f>
        <v>160</v>
      </c>
    </row>
    <row r="13" spans="1:13" x14ac:dyDescent="0.35">
      <c r="A13" s="3" t="s">
        <v>12</v>
      </c>
      <c r="B13" s="3" t="s">
        <v>13</v>
      </c>
      <c r="C13" s="3" t="s">
        <v>108</v>
      </c>
      <c r="D13" s="4" t="s">
        <v>40</v>
      </c>
      <c r="E13" s="4" t="s">
        <v>41</v>
      </c>
      <c r="F13" s="5">
        <v>0.5</v>
      </c>
      <c r="G13" s="10">
        <v>1</v>
      </c>
      <c r="H13" s="7">
        <v>280</v>
      </c>
      <c r="I13" s="7">
        <v>350</v>
      </c>
      <c r="J13" s="7">
        <v>380</v>
      </c>
      <c r="K13" s="7">
        <f t="shared" si="0"/>
        <v>280</v>
      </c>
      <c r="L13" s="7">
        <f t="shared" si="1"/>
        <v>350</v>
      </c>
      <c r="M13" s="14">
        <f t="shared" si="2"/>
        <v>380</v>
      </c>
    </row>
    <row r="14" spans="1:13" x14ac:dyDescent="0.35">
      <c r="A14" s="3" t="s">
        <v>12</v>
      </c>
      <c r="B14" s="3" t="s">
        <v>13</v>
      </c>
      <c r="C14" s="3" t="s">
        <v>108</v>
      </c>
      <c r="D14" s="4" t="s">
        <v>50</v>
      </c>
      <c r="E14" s="4" t="s">
        <v>51</v>
      </c>
      <c r="F14" s="5">
        <v>1</v>
      </c>
      <c r="G14" s="10">
        <v>1</v>
      </c>
      <c r="H14" s="7">
        <v>170</v>
      </c>
      <c r="I14" s="7">
        <v>180</v>
      </c>
      <c r="J14" s="7">
        <v>200</v>
      </c>
      <c r="K14" s="7">
        <f t="shared" si="0"/>
        <v>170</v>
      </c>
      <c r="L14" s="7">
        <f t="shared" si="1"/>
        <v>180</v>
      </c>
      <c r="M14" s="14">
        <f t="shared" si="2"/>
        <v>200</v>
      </c>
    </row>
    <row r="15" spans="1:13" x14ac:dyDescent="0.35">
      <c r="A15" s="3" t="s">
        <v>12</v>
      </c>
      <c r="B15" s="3" t="s">
        <v>13</v>
      </c>
      <c r="C15" s="3" t="s">
        <v>108</v>
      </c>
      <c r="D15" s="4" t="s">
        <v>60</v>
      </c>
      <c r="E15" s="4" t="s">
        <v>61</v>
      </c>
      <c r="F15" s="5">
        <v>2</v>
      </c>
      <c r="G15" s="10">
        <v>1</v>
      </c>
      <c r="H15" s="7">
        <v>290</v>
      </c>
      <c r="I15" s="7">
        <v>330</v>
      </c>
      <c r="J15" s="7">
        <v>340</v>
      </c>
      <c r="K15" s="7">
        <f t="shared" si="0"/>
        <v>290</v>
      </c>
      <c r="L15" s="7">
        <f t="shared" si="1"/>
        <v>330</v>
      </c>
      <c r="M15" s="14">
        <f t="shared" si="2"/>
        <v>340</v>
      </c>
    </row>
    <row r="16" spans="1:13" x14ac:dyDescent="0.35">
      <c r="A16" s="3" t="s">
        <v>12</v>
      </c>
      <c r="B16" s="3" t="s">
        <v>13</v>
      </c>
      <c r="C16" s="3" t="s">
        <v>108</v>
      </c>
      <c r="D16" s="4" t="s">
        <v>129</v>
      </c>
      <c r="E16" s="4" t="s">
        <v>130</v>
      </c>
      <c r="F16" s="5">
        <v>2</v>
      </c>
      <c r="G16" s="10">
        <v>1</v>
      </c>
      <c r="H16" s="7">
        <v>130</v>
      </c>
      <c r="I16" s="7">
        <v>165</v>
      </c>
      <c r="J16" s="7">
        <v>170</v>
      </c>
      <c r="K16" s="7">
        <f t="shared" si="0"/>
        <v>130</v>
      </c>
      <c r="L16" s="7">
        <f t="shared" si="1"/>
        <v>165</v>
      </c>
      <c r="M16" s="14">
        <f t="shared" si="2"/>
        <v>170</v>
      </c>
    </row>
    <row r="17" spans="1:13" x14ac:dyDescent="0.35">
      <c r="A17" s="3" t="s">
        <v>12</v>
      </c>
      <c r="B17" s="3" t="s">
        <v>13</v>
      </c>
      <c r="C17" s="3" t="s">
        <v>108</v>
      </c>
      <c r="D17" s="4" t="s">
        <v>192</v>
      </c>
      <c r="E17" s="4" t="s">
        <v>193</v>
      </c>
      <c r="F17" s="5">
        <v>0.5</v>
      </c>
      <c r="G17" s="10">
        <v>1</v>
      </c>
      <c r="H17" s="7">
        <v>115</v>
      </c>
      <c r="I17" s="7">
        <v>140</v>
      </c>
      <c r="J17" s="7">
        <v>140</v>
      </c>
      <c r="K17" s="7">
        <f t="shared" si="0"/>
        <v>115</v>
      </c>
      <c r="L17" s="7">
        <f t="shared" si="1"/>
        <v>140</v>
      </c>
      <c r="M17" s="14">
        <f t="shared" si="2"/>
        <v>140</v>
      </c>
    </row>
    <row r="18" spans="1:13" ht="15" customHeight="1" x14ac:dyDescent="0.35">
      <c r="A18" s="3" t="s">
        <v>12</v>
      </c>
      <c r="B18" s="3" t="s">
        <v>13</v>
      </c>
      <c r="C18" s="3" t="s">
        <v>14</v>
      </c>
      <c r="D18" s="4" t="s">
        <v>33</v>
      </c>
      <c r="E18" s="4" t="s">
        <v>34</v>
      </c>
      <c r="F18" s="5">
        <v>1</v>
      </c>
      <c r="G18" s="10">
        <v>1</v>
      </c>
      <c r="H18" s="7">
        <v>180</v>
      </c>
      <c r="I18" s="7">
        <v>240</v>
      </c>
      <c r="J18" s="7">
        <v>240</v>
      </c>
      <c r="K18" s="7">
        <f t="shared" si="0"/>
        <v>180</v>
      </c>
      <c r="L18" s="7">
        <f t="shared" si="1"/>
        <v>240</v>
      </c>
      <c r="M18" s="14">
        <f t="shared" si="2"/>
        <v>240</v>
      </c>
    </row>
    <row r="19" spans="1:13" x14ac:dyDescent="0.35">
      <c r="A19" s="3" t="s">
        <v>12</v>
      </c>
      <c r="B19" s="3" t="s">
        <v>13</v>
      </c>
      <c r="C19" s="3" t="s">
        <v>14</v>
      </c>
      <c r="D19" s="4" t="s">
        <v>36</v>
      </c>
      <c r="E19" s="4" t="s">
        <v>37</v>
      </c>
      <c r="F19" s="5">
        <v>0.5</v>
      </c>
      <c r="G19" s="10">
        <v>1</v>
      </c>
      <c r="H19" s="7">
        <v>140</v>
      </c>
      <c r="I19" s="7">
        <v>140</v>
      </c>
      <c r="J19" s="7">
        <v>190</v>
      </c>
      <c r="K19" s="7">
        <f t="shared" si="0"/>
        <v>140</v>
      </c>
      <c r="L19" s="7">
        <f t="shared" si="1"/>
        <v>140</v>
      </c>
      <c r="M19" s="14">
        <f t="shared" si="2"/>
        <v>190</v>
      </c>
    </row>
    <row r="20" spans="1:13" ht="15" customHeight="1" x14ac:dyDescent="0.35">
      <c r="A20" s="3" t="s">
        <v>12</v>
      </c>
      <c r="B20" s="3" t="s">
        <v>13</v>
      </c>
      <c r="C20" s="3" t="s">
        <v>79</v>
      </c>
      <c r="D20" s="4" t="s">
        <v>90</v>
      </c>
      <c r="E20" s="4" t="s">
        <v>91</v>
      </c>
      <c r="F20" s="5">
        <v>1</v>
      </c>
      <c r="G20" s="10">
        <v>1</v>
      </c>
      <c r="H20" s="7">
        <v>350</v>
      </c>
      <c r="I20" s="7">
        <v>354</v>
      </c>
      <c r="J20" s="7">
        <v>400</v>
      </c>
      <c r="K20" s="7">
        <f t="shared" si="0"/>
        <v>350</v>
      </c>
      <c r="L20" s="7">
        <f t="shared" si="1"/>
        <v>354</v>
      </c>
      <c r="M20" s="14">
        <f t="shared" si="2"/>
        <v>400</v>
      </c>
    </row>
    <row r="21" spans="1:13" x14ac:dyDescent="0.35">
      <c r="A21" s="3" t="s">
        <v>12</v>
      </c>
      <c r="B21" s="3" t="s">
        <v>13</v>
      </c>
      <c r="C21" s="3" t="s">
        <v>79</v>
      </c>
      <c r="D21" s="4" t="s">
        <v>92</v>
      </c>
      <c r="E21" s="4" t="s">
        <v>93</v>
      </c>
      <c r="F21" s="5">
        <v>1</v>
      </c>
      <c r="G21" s="10">
        <v>1</v>
      </c>
      <c r="H21" s="7">
        <v>285</v>
      </c>
      <c r="I21" s="7">
        <v>205</v>
      </c>
      <c r="J21" s="7">
        <v>260</v>
      </c>
      <c r="K21" s="7">
        <f t="shared" si="0"/>
        <v>285</v>
      </c>
      <c r="L21" s="7">
        <f t="shared" si="1"/>
        <v>205</v>
      </c>
      <c r="M21" s="14">
        <f t="shared" si="2"/>
        <v>260</v>
      </c>
    </row>
    <row r="22" spans="1:13" x14ac:dyDescent="0.35">
      <c r="A22" s="3" t="s">
        <v>12</v>
      </c>
      <c r="B22" s="3" t="s">
        <v>13</v>
      </c>
      <c r="C22" s="3" t="s">
        <v>79</v>
      </c>
      <c r="D22" s="4" t="s">
        <v>94</v>
      </c>
      <c r="E22" s="4" t="s">
        <v>95</v>
      </c>
      <c r="F22" s="5">
        <v>1</v>
      </c>
      <c r="G22" s="10">
        <v>1</v>
      </c>
      <c r="H22" s="7">
        <v>180</v>
      </c>
      <c r="I22" s="7">
        <v>194</v>
      </c>
      <c r="J22" s="7">
        <v>240</v>
      </c>
      <c r="K22" s="7">
        <f t="shared" si="0"/>
        <v>180</v>
      </c>
      <c r="L22" s="7">
        <f t="shared" si="1"/>
        <v>194</v>
      </c>
      <c r="M22" s="14">
        <f t="shared" si="2"/>
        <v>240</v>
      </c>
    </row>
    <row r="23" spans="1:13" x14ac:dyDescent="0.35">
      <c r="A23" s="3" t="s">
        <v>12</v>
      </c>
      <c r="B23" s="3" t="s">
        <v>13</v>
      </c>
      <c r="C23" s="3" t="s">
        <v>79</v>
      </c>
      <c r="D23" s="4" t="s">
        <v>96</v>
      </c>
      <c r="E23" s="4" t="s">
        <v>97</v>
      </c>
      <c r="F23" s="5">
        <v>1</v>
      </c>
      <c r="G23" s="10">
        <v>1</v>
      </c>
      <c r="H23" s="7">
        <v>195</v>
      </c>
      <c r="I23" s="7">
        <v>208</v>
      </c>
      <c r="J23" s="7">
        <v>210</v>
      </c>
      <c r="K23" s="7">
        <f t="shared" si="0"/>
        <v>195</v>
      </c>
      <c r="L23" s="7">
        <f t="shared" si="1"/>
        <v>208</v>
      </c>
      <c r="M23" s="14">
        <f t="shared" si="2"/>
        <v>210</v>
      </c>
    </row>
    <row r="24" spans="1:13" x14ac:dyDescent="0.35">
      <c r="A24" s="3" t="s">
        <v>12</v>
      </c>
      <c r="B24" s="3" t="s">
        <v>13</v>
      </c>
      <c r="C24" s="3" t="s">
        <v>79</v>
      </c>
      <c r="D24" s="4" t="s">
        <v>98</v>
      </c>
      <c r="E24" s="4" t="s">
        <v>99</v>
      </c>
      <c r="F24" s="5">
        <v>1</v>
      </c>
      <c r="G24" s="10">
        <v>1</v>
      </c>
      <c r="H24" s="7">
        <v>200</v>
      </c>
      <c r="I24" s="7">
        <v>218</v>
      </c>
      <c r="J24" s="7">
        <v>240</v>
      </c>
      <c r="K24" s="7">
        <f t="shared" si="0"/>
        <v>200</v>
      </c>
      <c r="L24" s="7">
        <f t="shared" si="1"/>
        <v>218</v>
      </c>
      <c r="M24" s="14">
        <f t="shared" si="2"/>
        <v>240</v>
      </c>
    </row>
    <row r="25" spans="1:13" x14ac:dyDescent="0.35">
      <c r="A25" s="3" t="s">
        <v>12</v>
      </c>
      <c r="B25" s="3" t="s">
        <v>13</v>
      </c>
      <c r="C25" s="3" t="s">
        <v>79</v>
      </c>
      <c r="D25" s="4" t="s">
        <v>100</v>
      </c>
      <c r="E25" s="4" t="s">
        <v>101</v>
      </c>
      <c r="F25" s="5">
        <v>0</v>
      </c>
      <c r="G25" s="10">
        <v>1</v>
      </c>
      <c r="H25" s="7">
        <v>390</v>
      </c>
      <c r="I25" s="7">
        <v>383</v>
      </c>
      <c r="J25" s="7">
        <v>470</v>
      </c>
      <c r="K25" s="7">
        <f t="shared" si="0"/>
        <v>390</v>
      </c>
      <c r="L25" s="7">
        <f t="shared" si="1"/>
        <v>383</v>
      </c>
      <c r="M25" s="14">
        <f t="shared" si="2"/>
        <v>470</v>
      </c>
    </row>
    <row r="26" spans="1:13" x14ac:dyDescent="0.35">
      <c r="A26" s="3" t="s">
        <v>12</v>
      </c>
      <c r="B26" s="3" t="s">
        <v>13</v>
      </c>
      <c r="C26" s="3" t="s">
        <v>79</v>
      </c>
      <c r="D26" s="4" t="s">
        <v>102</v>
      </c>
      <c r="E26" s="4" t="s">
        <v>103</v>
      </c>
      <c r="F26" s="5">
        <v>1</v>
      </c>
      <c r="G26" s="10">
        <v>1</v>
      </c>
      <c r="H26" s="7">
        <v>250</v>
      </c>
      <c r="I26" s="7">
        <v>320</v>
      </c>
      <c r="J26" s="7">
        <v>300</v>
      </c>
      <c r="K26" s="7">
        <f t="shared" si="0"/>
        <v>250</v>
      </c>
      <c r="L26" s="7">
        <f t="shared" si="1"/>
        <v>320</v>
      </c>
      <c r="M26" s="14">
        <f t="shared" si="2"/>
        <v>300</v>
      </c>
    </row>
    <row r="27" spans="1:13" x14ac:dyDescent="0.35">
      <c r="A27" s="3" t="s">
        <v>12</v>
      </c>
      <c r="B27" s="3" t="s">
        <v>13</v>
      </c>
      <c r="C27" s="3" t="s">
        <v>79</v>
      </c>
      <c r="D27" s="4" t="s">
        <v>104</v>
      </c>
      <c r="E27" s="4" t="s">
        <v>105</v>
      </c>
      <c r="F27" s="5">
        <v>1</v>
      </c>
      <c r="G27" s="10">
        <v>1</v>
      </c>
      <c r="H27" s="7">
        <v>180</v>
      </c>
      <c r="I27" s="7">
        <v>150</v>
      </c>
      <c r="J27" s="7">
        <v>150</v>
      </c>
      <c r="K27" s="7">
        <f t="shared" si="0"/>
        <v>180</v>
      </c>
      <c r="L27" s="7">
        <f t="shared" si="1"/>
        <v>150</v>
      </c>
      <c r="M27" s="14">
        <f t="shared" si="2"/>
        <v>150</v>
      </c>
    </row>
    <row r="28" spans="1:13" x14ac:dyDescent="0.35">
      <c r="A28" s="3" t="s">
        <v>12</v>
      </c>
      <c r="B28" s="3" t="s">
        <v>13</v>
      </c>
      <c r="C28" s="3" t="s">
        <v>79</v>
      </c>
      <c r="D28" s="4" t="s">
        <v>106</v>
      </c>
      <c r="E28" s="4" t="s">
        <v>107</v>
      </c>
      <c r="F28" s="5">
        <v>1</v>
      </c>
      <c r="G28" s="10">
        <v>1</v>
      </c>
      <c r="H28" s="7">
        <v>325</v>
      </c>
      <c r="I28" s="7">
        <v>260</v>
      </c>
      <c r="J28" s="7">
        <v>350</v>
      </c>
      <c r="K28" s="7">
        <f t="shared" si="0"/>
        <v>325</v>
      </c>
      <c r="L28" s="7">
        <f t="shared" si="1"/>
        <v>260</v>
      </c>
      <c r="M28" s="14">
        <f t="shared" si="2"/>
        <v>350</v>
      </c>
    </row>
    <row r="29" spans="1:13" x14ac:dyDescent="0.35">
      <c r="A29" s="3" t="s">
        <v>12</v>
      </c>
      <c r="B29" s="3" t="s">
        <v>13</v>
      </c>
      <c r="C29" s="3" t="s">
        <v>108</v>
      </c>
      <c r="D29" s="4" t="s">
        <v>123</v>
      </c>
      <c r="E29" s="4" t="s">
        <v>124</v>
      </c>
      <c r="F29" s="5">
        <v>1</v>
      </c>
      <c r="G29" s="10">
        <v>1</v>
      </c>
      <c r="H29" s="7">
        <v>600</v>
      </c>
      <c r="I29" s="7">
        <v>680</v>
      </c>
      <c r="J29" s="7">
        <v>680</v>
      </c>
      <c r="K29" s="7">
        <f t="shared" si="0"/>
        <v>600</v>
      </c>
      <c r="L29" s="7">
        <f t="shared" si="1"/>
        <v>680</v>
      </c>
      <c r="M29" s="14">
        <f t="shared" si="2"/>
        <v>680</v>
      </c>
    </row>
    <row r="30" spans="1:13" x14ac:dyDescent="0.35">
      <c r="A30" s="3" t="s">
        <v>12</v>
      </c>
      <c r="B30" s="3" t="s">
        <v>13</v>
      </c>
      <c r="C30" s="3" t="s">
        <v>131</v>
      </c>
      <c r="D30" s="4" t="s">
        <v>132</v>
      </c>
      <c r="E30" s="4" t="s">
        <v>133</v>
      </c>
      <c r="F30" s="5">
        <v>0</v>
      </c>
      <c r="G30" s="10">
        <v>1</v>
      </c>
      <c r="H30" s="7">
        <v>8</v>
      </c>
      <c r="I30" s="7">
        <v>10</v>
      </c>
      <c r="J30" s="7">
        <v>10</v>
      </c>
      <c r="K30" s="7">
        <f t="shared" si="0"/>
        <v>8</v>
      </c>
      <c r="L30" s="7">
        <f t="shared" si="1"/>
        <v>10</v>
      </c>
      <c r="M30" s="14">
        <f t="shared" si="2"/>
        <v>10</v>
      </c>
    </row>
    <row r="31" spans="1:13" x14ac:dyDescent="0.35">
      <c r="A31" s="3" t="s">
        <v>12</v>
      </c>
      <c r="B31" s="3" t="s">
        <v>13</v>
      </c>
      <c r="C31" s="3" t="s">
        <v>143</v>
      </c>
      <c r="D31" s="4" t="s">
        <v>146</v>
      </c>
      <c r="E31" s="4" t="s">
        <v>147</v>
      </c>
      <c r="F31" s="5">
        <v>0.1</v>
      </c>
      <c r="G31" s="10">
        <v>1</v>
      </c>
      <c r="H31" s="7">
        <v>50</v>
      </c>
      <c r="I31" s="7">
        <v>50</v>
      </c>
      <c r="J31" s="7">
        <v>60</v>
      </c>
      <c r="K31" s="7">
        <f t="shared" si="0"/>
        <v>50</v>
      </c>
      <c r="L31" s="7">
        <f t="shared" si="1"/>
        <v>50</v>
      </c>
      <c r="M31" s="14">
        <f t="shared" si="2"/>
        <v>60</v>
      </c>
    </row>
    <row r="32" spans="1:13" x14ac:dyDescent="0.35">
      <c r="A32" s="3" t="s">
        <v>12</v>
      </c>
      <c r="B32" s="3" t="s">
        <v>13</v>
      </c>
      <c r="C32" s="3" t="s">
        <v>143</v>
      </c>
      <c r="D32" s="4" t="s">
        <v>148</v>
      </c>
      <c r="E32" s="4" t="s">
        <v>149</v>
      </c>
      <c r="F32" s="5">
        <v>0.1</v>
      </c>
      <c r="G32" s="10">
        <v>1</v>
      </c>
      <c r="H32" s="7">
        <v>45</v>
      </c>
      <c r="I32" s="7">
        <v>50</v>
      </c>
      <c r="J32" s="7">
        <v>60</v>
      </c>
      <c r="K32" s="7">
        <f t="shared" si="0"/>
        <v>45</v>
      </c>
      <c r="L32" s="7">
        <f t="shared" si="1"/>
        <v>50</v>
      </c>
      <c r="M32" s="14">
        <f t="shared" si="2"/>
        <v>60</v>
      </c>
    </row>
    <row r="33" spans="1:13" x14ac:dyDescent="0.35">
      <c r="A33" s="3" t="s">
        <v>12</v>
      </c>
      <c r="B33" s="3" t="s">
        <v>13</v>
      </c>
      <c r="C33" s="3" t="s">
        <v>143</v>
      </c>
      <c r="D33" s="4" t="s">
        <v>168</v>
      </c>
      <c r="E33" s="4" t="s">
        <v>169</v>
      </c>
      <c r="F33" s="5">
        <v>0.05</v>
      </c>
      <c r="G33" s="10">
        <v>1</v>
      </c>
      <c r="H33" s="7">
        <v>65</v>
      </c>
      <c r="I33" s="7">
        <v>70</v>
      </c>
      <c r="J33" s="7">
        <v>70</v>
      </c>
      <c r="K33" s="7">
        <f t="shared" si="0"/>
        <v>65</v>
      </c>
      <c r="L33" s="7">
        <f t="shared" si="1"/>
        <v>70</v>
      </c>
      <c r="M33" s="14">
        <f t="shared" si="2"/>
        <v>70</v>
      </c>
    </row>
    <row r="34" spans="1:13" x14ac:dyDescent="0.35">
      <c r="A34" s="3" t="s">
        <v>12</v>
      </c>
      <c r="B34" s="3" t="s">
        <v>13</v>
      </c>
      <c r="C34" s="3" t="s">
        <v>143</v>
      </c>
      <c r="D34" s="4" t="s">
        <v>182</v>
      </c>
      <c r="E34" s="4" t="s">
        <v>183</v>
      </c>
      <c r="F34" s="5">
        <v>0.1</v>
      </c>
      <c r="G34" s="10">
        <v>1</v>
      </c>
      <c r="H34" s="7">
        <v>65</v>
      </c>
      <c r="I34" s="7">
        <v>100</v>
      </c>
      <c r="J34" s="7">
        <v>100</v>
      </c>
      <c r="K34" s="7">
        <f t="shared" si="0"/>
        <v>65</v>
      </c>
      <c r="L34" s="7">
        <f t="shared" si="1"/>
        <v>100</v>
      </c>
      <c r="M34" s="14">
        <f t="shared" si="2"/>
        <v>100</v>
      </c>
    </row>
    <row r="35" spans="1:13" x14ac:dyDescent="0.35">
      <c r="A35" s="3" t="s">
        <v>12</v>
      </c>
      <c r="B35" s="3" t="s">
        <v>13</v>
      </c>
      <c r="C35" s="3" t="s">
        <v>246</v>
      </c>
      <c r="D35" s="4" t="s">
        <v>249</v>
      </c>
      <c r="E35" s="4" t="s">
        <v>250</v>
      </c>
      <c r="F35" s="5">
        <v>0.08</v>
      </c>
      <c r="G35" s="10">
        <v>1</v>
      </c>
      <c r="H35" s="7">
        <v>269.5</v>
      </c>
      <c r="I35" s="7">
        <v>310</v>
      </c>
      <c r="J35" s="7">
        <v>325</v>
      </c>
      <c r="K35" s="7">
        <f t="shared" si="0"/>
        <v>269.5</v>
      </c>
      <c r="L35" s="7">
        <f t="shared" si="1"/>
        <v>310</v>
      </c>
      <c r="M35" s="14">
        <f t="shared" si="2"/>
        <v>325</v>
      </c>
    </row>
    <row r="36" spans="1:13" x14ac:dyDescent="0.35">
      <c r="A36" s="3" t="s">
        <v>12</v>
      </c>
      <c r="B36" s="3" t="s">
        <v>13</v>
      </c>
      <c r="C36" s="3" t="s">
        <v>13</v>
      </c>
      <c r="D36" s="4" t="s">
        <v>265</v>
      </c>
      <c r="E36" s="4" t="s">
        <v>266</v>
      </c>
      <c r="F36" s="5">
        <v>0.05</v>
      </c>
      <c r="G36" s="10">
        <v>1</v>
      </c>
      <c r="H36" s="7">
        <v>170</v>
      </c>
      <c r="I36" s="7">
        <v>200</v>
      </c>
      <c r="J36" s="7">
        <v>200</v>
      </c>
      <c r="K36" s="7">
        <f t="shared" si="0"/>
        <v>170</v>
      </c>
      <c r="L36" s="7">
        <f t="shared" si="1"/>
        <v>200</v>
      </c>
      <c r="M36" s="14">
        <f t="shared" si="2"/>
        <v>200</v>
      </c>
    </row>
    <row r="37" spans="1:13" x14ac:dyDescent="0.35">
      <c r="A37" s="3" t="s">
        <v>12</v>
      </c>
      <c r="B37" s="3" t="s">
        <v>13</v>
      </c>
      <c r="C37" s="3" t="s">
        <v>13</v>
      </c>
      <c r="D37" s="4" t="s">
        <v>269</v>
      </c>
      <c r="E37" s="4" t="s">
        <v>270</v>
      </c>
      <c r="F37" s="5">
        <v>0</v>
      </c>
      <c r="G37" s="10">
        <v>1</v>
      </c>
      <c r="H37" s="7">
        <v>70</v>
      </c>
      <c r="I37" s="7">
        <v>100</v>
      </c>
      <c r="J37" s="7">
        <v>100</v>
      </c>
      <c r="K37" s="7">
        <f t="shared" si="0"/>
        <v>70</v>
      </c>
      <c r="L37" s="7">
        <f t="shared" si="1"/>
        <v>100</v>
      </c>
      <c r="M37" s="14">
        <f t="shared" si="2"/>
        <v>100</v>
      </c>
    </row>
    <row r="38" spans="1:13" x14ac:dyDescent="0.35">
      <c r="A38" s="3" t="s">
        <v>12</v>
      </c>
      <c r="B38" s="3" t="s">
        <v>13</v>
      </c>
      <c r="C38" s="3" t="s">
        <v>13</v>
      </c>
      <c r="D38" s="4" t="s">
        <v>271</v>
      </c>
      <c r="E38" s="4" t="s">
        <v>272</v>
      </c>
      <c r="F38" s="5">
        <v>0</v>
      </c>
      <c r="G38" s="10">
        <v>1</v>
      </c>
      <c r="H38" s="7">
        <v>90</v>
      </c>
      <c r="I38" s="7">
        <v>120</v>
      </c>
      <c r="J38" s="7">
        <v>120</v>
      </c>
      <c r="K38" s="7">
        <f t="shared" si="0"/>
        <v>90</v>
      </c>
      <c r="L38" s="7">
        <f t="shared" si="1"/>
        <v>120</v>
      </c>
      <c r="M38" s="14">
        <f t="shared" si="2"/>
        <v>120</v>
      </c>
    </row>
    <row r="39" spans="1:13" x14ac:dyDescent="0.35">
      <c r="A39" s="3" t="s">
        <v>12</v>
      </c>
      <c r="B39" s="3" t="s">
        <v>13</v>
      </c>
      <c r="C39" s="3" t="s">
        <v>13</v>
      </c>
      <c r="D39" s="4" t="s">
        <v>283</v>
      </c>
      <c r="E39" s="4" t="s">
        <v>284</v>
      </c>
      <c r="F39" s="5">
        <v>0</v>
      </c>
      <c r="G39" s="10">
        <v>1</v>
      </c>
      <c r="H39" s="7">
        <v>122.66</v>
      </c>
      <c r="I39" s="7">
        <v>150</v>
      </c>
      <c r="J39" s="7">
        <v>150</v>
      </c>
      <c r="K39" s="7">
        <f t="shared" si="0"/>
        <v>122.66</v>
      </c>
      <c r="L39" s="7">
        <f t="shared" si="1"/>
        <v>150</v>
      </c>
      <c r="M39" s="14">
        <f t="shared" si="2"/>
        <v>150</v>
      </c>
    </row>
    <row r="40" spans="1:13" x14ac:dyDescent="0.35">
      <c r="A40" s="3" t="s">
        <v>12</v>
      </c>
      <c r="B40" s="3" t="s">
        <v>13</v>
      </c>
      <c r="C40" s="3" t="s">
        <v>13</v>
      </c>
      <c r="D40" s="4" t="s">
        <v>285</v>
      </c>
      <c r="E40" s="4" t="s">
        <v>286</v>
      </c>
      <c r="F40" s="5">
        <v>0</v>
      </c>
      <c r="G40" s="10">
        <v>1</v>
      </c>
      <c r="H40" s="7">
        <v>55.22</v>
      </c>
      <c r="I40" s="7">
        <v>60</v>
      </c>
      <c r="J40" s="7">
        <v>60</v>
      </c>
      <c r="K40" s="7">
        <f t="shared" si="0"/>
        <v>55.22</v>
      </c>
      <c r="L40" s="7">
        <f t="shared" si="1"/>
        <v>60</v>
      </c>
      <c r="M40" s="14">
        <f t="shared" si="2"/>
        <v>60</v>
      </c>
    </row>
    <row r="41" spans="1:13" x14ac:dyDescent="0.35">
      <c r="A41" s="3" t="s">
        <v>12</v>
      </c>
      <c r="B41" s="3" t="s">
        <v>13</v>
      </c>
      <c r="C41" s="3" t="s">
        <v>14</v>
      </c>
      <c r="D41" s="4" t="s">
        <v>11</v>
      </c>
      <c r="E41" s="4" t="s">
        <v>35</v>
      </c>
      <c r="F41" s="5">
        <v>0.25</v>
      </c>
      <c r="G41" s="10">
        <v>2</v>
      </c>
      <c r="H41" s="7">
        <v>108</v>
      </c>
      <c r="I41" s="7">
        <v>120</v>
      </c>
      <c r="J41" s="7">
        <v>120</v>
      </c>
      <c r="K41" s="7">
        <f t="shared" si="0"/>
        <v>216</v>
      </c>
      <c r="L41" s="7">
        <f t="shared" si="1"/>
        <v>240</v>
      </c>
      <c r="M41" s="14">
        <f t="shared" si="2"/>
        <v>240</v>
      </c>
    </row>
    <row r="42" spans="1:13" x14ac:dyDescent="0.35">
      <c r="A42" s="3" t="s">
        <v>12</v>
      </c>
      <c r="B42" s="3" t="s">
        <v>13</v>
      </c>
      <c r="C42" s="3" t="s">
        <v>14</v>
      </c>
      <c r="D42" s="4" t="s">
        <v>46</v>
      </c>
      <c r="E42" s="4" t="s">
        <v>47</v>
      </c>
      <c r="F42" s="5">
        <v>0.25</v>
      </c>
      <c r="G42" s="10">
        <v>2</v>
      </c>
      <c r="H42" s="7">
        <v>55</v>
      </c>
      <c r="I42" s="7">
        <v>70</v>
      </c>
      <c r="J42" s="7">
        <v>95</v>
      </c>
      <c r="K42" s="7">
        <f t="shared" si="0"/>
        <v>110</v>
      </c>
      <c r="L42" s="7">
        <f t="shared" si="1"/>
        <v>140</v>
      </c>
      <c r="M42" s="14">
        <f t="shared" si="2"/>
        <v>190</v>
      </c>
    </row>
    <row r="43" spans="1:13" x14ac:dyDescent="0.35">
      <c r="A43" s="3" t="s">
        <v>12</v>
      </c>
      <c r="B43" s="3" t="s">
        <v>13</v>
      </c>
      <c r="C43" s="3" t="s">
        <v>14</v>
      </c>
      <c r="D43" s="4" t="s">
        <v>54</v>
      </c>
      <c r="E43" s="4" t="s">
        <v>55</v>
      </c>
      <c r="F43" s="5">
        <v>0.25</v>
      </c>
      <c r="G43" s="10">
        <v>2</v>
      </c>
      <c r="H43" s="7">
        <v>60</v>
      </c>
      <c r="I43" s="7">
        <v>60</v>
      </c>
      <c r="J43" s="7">
        <v>70</v>
      </c>
      <c r="K43" s="7">
        <f t="shared" si="0"/>
        <v>120</v>
      </c>
      <c r="L43" s="7">
        <f t="shared" si="1"/>
        <v>120</v>
      </c>
      <c r="M43" s="14">
        <f t="shared" si="2"/>
        <v>140</v>
      </c>
    </row>
    <row r="44" spans="1:13" x14ac:dyDescent="0.35">
      <c r="A44" s="3" t="s">
        <v>12</v>
      </c>
      <c r="B44" s="3" t="s">
        <v>13</v>
      </c>
      <c r="C44" s="3" t="s">
        <v>14</v>
      </c>
      <c r="D44" s="4" t="s">
        <v>66</v>
      </c>
      <c r="E44" s="4" t="s">
        <v>67</v>
      </c>
      <c r="F44" s="5">
        <v>0.25</v>
      </c>
      <c r="G44" s="10">
        <v>2</v>
      </c>
      <c r="H44" s="7">
        <v>45</v>
      </c>
      <c r="I44" s="7">
        <v>60</v>
      </c>
      <c r="J44" s="7">
        <v>60</v>
      </c>
      <c r="K44" s="7">
        <f t="shared" si="0"/>
        <v>90</v>
      </c>
      <c r="L44" s="7">
        <f t="shared" si="1"/>
        <v>120</v>
      </c>
      <c r="M44" s="14">
        <f t="shared" si="2"/>
        <v>120</v>
      </c>
    </row>
    <row r="45" spans="1:13" x14ac:dyDescent="0.35">
      <c r="A45" s="3" t="s">
        <v>12</v>
      </c>
      <c r="B45" s="3" t="s">
        <v>13</v>
      </c>
      <c r="C45" s="3" t="s">
        <v>14</v>
      </c>
      <c r="D45" s="4" t="s">
        <v>70</v>
      </c>
      <c r="E45" s="4" t="s">
        <v>71</v>
      </c>
      <c r="F45" s="5">
        <v>0.17499999999999999</v>
      </c>
      <c r="G45" s="10">
        <v>2</v>
      </c>
      <c r="H45" s="7">
        <v>168</v>
      </c>
      <c r="I45" s="7">
        <v>190</v>
      </c>
      <c r="J45" s="7">
        <v>190</v>
      </c>
      <c r="K45" s="7">
        <f t="shared" si="0"/>
        <v>336</v>
      </c>
      <c r="L45" s="7">
        <f t="shared" si="1"/>
        <v>380</v>
      </c>
      <c r="M45" s="14">
        <f t="shared" si="2"/>
        <v>380</v>
      </c>
    </row>
    <row r="46" spans="1:13" x14ac:dyDescent="0.35">
      <c r="A46" s="3" t="s">
        <v>12</v>
      </c>
      <c r="B46" s="3" t="s">
        <v>13</v>
      </c>
      <c r="C46" s="3" t="s">
        <v>79</v>
      </c>
      <c r="D46" s="4" t="s">
        <v>88</v>
      </c>
      <c r="E46" s="4" t="s">
        <v>89</v>
      </c>
      <c r="F46" s="5">
        <v>0</v>
      </c>
      <c r="G46" s="10">
        <v>2</v>
      </c>
      <c r="H46" s="7">
        <v>375</v>
      </c>
      <c r="I46" s="7">
        <v>400</v>
      </c>
      <c r="J46" s="7">
        <v>400</v>
      </c>
      <c r="K46" s="7">
        <f t="shared" si="0"/>
        <v>750</v>
      </c>
      <c r="L46" s="7">
        <f t="shared" si="1"/>
        <v>800</v>
      </c>
      <c r="M46" s="14">
        <f t="shared" si="2"/>
        <v>800</v>
      </c>
    </row>
    <row r="47" spans="1:13" x14ac:dyDescent="0.35">
      <c r="A47" s="3" t="s">
        <v>12</v>
      </c>
      <c r="B47" s="3" t="s">
        <v>13</v>
      </c>
      <c r="C47" s="3" t="s">
        <v>13</v>
      </c>
      <c r="D47" s="4" t="s">
        <v>277</v>
      </c>
      <c r="E47" s="4" t="s">
        <v>278</v>
      </c>
      <c r="F47" s="5">
        <v>0.17499999999999999</v>
      </c>
      <c r="G47" s="10">
        <v>2</v>
      </c>
      <c r="H47" s="7">
        <v>243.66</v>
      </c>
      <c r="I47" s="7">
        <v>280</v>
      </c>
      <c r="J47" s="7">
        <v>280</v>
      </c>
      <c r="K47" s="7">
        <f t="shared" si="0"/>
        <v>487.32</v>
      </c>
      <c r="L47" s="7">
        <f t="shared" si="1"/>
        <v>560</v>
      </c>
      <c r="M47" s="14">
        <f t="shared" si="2"/>
        <v>560</v>
      </c>
    </row>
    <row r="48" spans="1:13" x14ac:dyDescent="0.35">
      <c r="A48" s="3" t="s">
        <v>12</v>
      </c>
      <c r="B48" s="3" t="s">
        <v>13</v>
      </c>
      <c r="C48" s="3" t="s">
        <v>291</v>
      </c>
      <c r="D48" s="4" t="s">
        <v>294</v>
      </c>
      <c r="E48" s="4" t="s">
        <v>295</v>
      </c>
      <c r="F48" s="5">
        <v>0</v>
      </c>
      <c r="G48" s="10">
        <v>2</v>
      </c>
      <c r="H48" s="7">
        <v>882</v>
      </c>
      <c r="I48" s="7">
        <v>1000</v>
      </c>
      <c r="J48" s="7">
        <v>1000</v>
      </c>
      <c r="K48" s="7">
        <f t="shared" si="0"/>
        <v>1764</v>
      </c>
      <c r="L48" s="7">
        <f t="shared" si="1"/>
        <v>2000</v>
      </c>
      <c r="M48" s="14">
        <f t="shared" si="2"/>
        <v>2000</v>
      </c>
    </row>
    <row r="49" spans="1:13" x14ac:dyDescent="0.35">
      <c r="A49" s="3" t="s">
        <v>12</v>
      </c>
      <c r="B49" s="3" t="s">
        <v>13</v>
      </c>
      <c r="C49" s="3" t="s">
        <v>14</v>
      </c>
      <c r="D49" s="4" t="s">
        <v>42</v>
      </c>
      <c r="E49" s="4" t="s">
        <v>43</v>
      </c>
      <c r="F49" s="5">
        <v>0.5</v>
      </c>
      <c r="G49" s="10">
        <v>3</v>
      </c>
      <c r="H49" s="7">
        <v>93</v>
      </c>
      <c r="I49" s="7">
        <v>120</v>
      </c>
      <c r="J49" s="7">
        <v>120</v>
      </c>
      <c r="K49" s="7">
        <f t="shared" si="0"/>
        <v>279</v>
      </c>
      <c r="L49" s="7">
        <f t="shared" si="1"/>
        <v>360</v>
      </c>
      <c r="M49" s="14">
        <f t="shared" si="2"/>
        <v>360</v>
      </c>
    </row>
    <row r="50" spans="1:13" x14ac:dyDescent="0.35">
      <c r="A50" s="3" t="s">
        <v>12</v>
      </c>
      <c r="B50" s="3" t="s">
        <v>13</v>
      </c>
      <c r="C50" s="3" t="s">
        <v>14</v>
      </c>
      <c r="D50" s="4" t="s">
        <v>58</v>
      </c>
      <c r="E50" s="4" t="s">
        <v>59</v>
      </c>
      <c r="F50" s="5">
        <v>1</v>
      </c>
      <c r="G50" s="10">
        <v>3</v>
      </c>
      <c r="H50" s="7">
        <v>240</v>
      </c>
      <c r="I50" s="7">
        <v>240</v>
      </c>
      <c r="J50" s="7">
        <v>280</v>
      </c>
      <c r="K50" s="7">
        <f t="shared" si="0"/>
        <v>720</v>
      </c>
      <c r="L50" s="7">
        <f t="shared" si="1"/>
        <v>720</v>
      </c>
      <c r="M50" s="14">
        <f t="shared" si="2"/>
        <v>840</v>
      </c>
    </row>
    <row r="51" spans="1:13" x14ac:dyDescent="0.35">
      <c r="A51" s="3" t="s">
        <v>12</v>
      </c>
      <c r="B51" s="3" t="s">
        <v>13</v>
      </c>
      <c r="C51" s="3" t="s">
        <v>14</v>
      </c>
      <c r="D51" s="4" t="s">
        <v>68</v>
      </c>
      <c r="E51" s="4" t="s">
        <v>69</v>
      </c>
      <c r="F51" s="5">
        <v>1</v>
      </c>
      <c r="G51" s="10">
        <v>3</v>
      </c>
      <c r="H51" s="7">
        <v>307.54000000000002</v>
      </c>
      <c r="I51" s="7">
        <v>340</v>
      </c>
      <c r="J51" s="7">
        <v>340</v>
      </c>
      <c r="K51" s="7">
        <f t="shared" si="0"/>
        <v>922.62000000000012</v>
      </c>
      <c r="L51" s="7">
        <f t="shared" si="1"/>
        <v>1020</v>
      </c>
      <c r="M51" s="14">
        <f t="shared" si="2"/>
        <v>1020</v>
      </c>
    </row>
    <row r="52" spans="1:13" x14ac:dyDescent="0.35">
      <c r="A52" s="3" t="s">
        <v>12</v>
      </c>
      <c r="B52" s="3" t="s">
        <v>13</v>
      </c>
      <c r="C52" s="3" t="s">
        <v>14</v>
      </c>
      <c r="D52" s="4" t="s">
        <v>72</v>
      </c>
      <c r="E52" s="4" t="s">
        <v>73</v>
      </c>
      <c r="F52" s="5">
        <v>0.25</v>
      </c>
      <c r="G52" s="10">
        <v>3</v>
      </c>
      <c r="H52" s="7">
        <v>200</v>
      </c>
      <c r="I52" s="7">
        <v>250</v>
      </c>
      <c r="J52" s="7">
        <v>250</v>
      </c>
      <c r="K52" s="7">
        <f t="shared" si="0"/>
        <v>600</v>
      </c>
      <c r="L52" s="7">
        <f t="shared" si="1"/>
        <v>750</v>
      </c>
      <c r="M52" s="14">
        <f t="shared" si="2"/>
        <v>750</v>
      </c>
    </row>
    <row r="53" spans="1:13" x14ac:dyDescent="0.35">
      <c r="A53" s="3" t="s">
        <v>12</v>
      </c>
      <c r="B53" s="3" t="s">
        <v>13</v>
      </c>
      <c r="C53" s="3" t="s">
        <v>143</v>
      </c>
      <c r="D53" s="4" t="s">
        <v>176</v>
      </c>
      <c r="E53" s="4" t="s">
        <v>177</v>
      </c>
      <c r="F53" s="5">
        <v>0.1</v>
      </c>
      <c r="G53" s="10">
        <v>3</v>
      </c>
      <c r="H53" s="7">
        <v>80</v>
      </c>
      <c r="I53" s="7">
        <v>100</v>
      </c>
      <c r="J53" s="7">
        <v>100</v>
      </c>
      <c r="K53" s="7">
        <f t="shared" si="0"/>
        <v>240</v>
      </c>
      <c r="L53" s="7">
        <f t="shared" si="1"/>
        <v>300</v>
      </c>
      <c r="M53" s="14">
        <f t="shared" si="2"/>
        <v>300</v>
      </c>
    </row>
    <row r="54" spans="1:13" x14ac:dyDescent="0.35">
      <c r="A54" s="3" t="s">
        <v>12</v>
      </c>
      <c r="B54" s="3" t="s">
        <v>13</v>
      </c>
      <c r="C54" s="3" t="s">
        <v>243</v>
      </c>
      <c r="D54" s="4" t="s">
        <v>244</v>
      </c>
      <c r="E54" s="4" t="s">
        <v>245</v>
      </c>
      <c r="F54" s="5">
        <v>1</v>
      </c>
      <c r="G54" s="10">
        <v>3</v>
      </c>
      <c r="H54" s="7">
        <v>197.5</v>
      </c>
      <c r="I54" s="7">
        <v>240</v>
      </c>
      <c r="J54" s="7">
        <v>240</v>
      </c>
      <c r="K54" s="7">
        <f t="shared" si="0"/>
        <v>592.5</v>
      </c>
      <c r="L54" s="7">
        <f t="shared" si="1"/>
        <v>720</v>
      </c>
      <c r="M54" s="14">
        <f t="shared" si="2"/>
        <v>720</v>
      </c>
    </row>
    <row r="55" spans="1:13" x14ac:dyDescent="0.35">
      <c r="A55" s="3" t="s">
        <v>12</v>
      </c>
      <c r="B55" s="3" t="s">
        <v>13</v>
      </c>
      <c r="C55" s="3" t="s">
        <v>13</v>
      </c>
      <c r="D55" s="4" t="s">
        <v>258</v>
      </c>
      <c r="E55" s="4" t="s">
        <v>259</v>
      </c>
      <c r="F55" s="5">
        <v>0.54500000000000004</v>
      </c>
      <c r="G55" s="10">
        <v>3</v>
      </c>
      <c r="H55" s="7">
        <v>470</v>
      </c>
      <c r="I55" s="7">
        <v>500</v>
      </c>
      <c r="J55" s="7">
        <v>500</v>
      </c>
      <c r="K55" s="7">
        <f t="shared" si="0"/>
        <v>1410</v>
      </c>
      <c r="L55" s="7">
        <f t="shared" si="1"/>
        <v>1500</v>
      </c>
      <c r="M55" s="14">
        <f t="shared" si="2"/>
        <v>1500</v>
      </c>
    </row>
    <row r="56" spans="1:13" x14ac:dyDescent="0.35">
      <c r="A56" s="3" t="s">
        <v>12</v>
      </c>
      <c r="B56" s="3" t="s">
        <v>13</v>
      </c>
      <c r="C56" s="3" t="s">
        <v>13</v>
      </c>
      <c r="D56" s="4" t="s">
        <v>260</v>
      </c>
      <c r="E56" s="4" t="s">
        <v>73</v>
      </c>
      <c r="F56" s="5">
        <v>0.5</v>
      </c>
      <c r="G56" s="10">
        <v>3</v>
      </c>
      <c r="H56" s="7">
        <v>200</v>
      </c>
      <c r="I56" s="7">
        <v>250</v>
      </c>
      <c r="J56" s="7">
        <v>250</v>
      </c>
      <c r="K56" s="7">
        <f t="shared" si="0"/>
        <v>600</v>
      </c>
      <c r="L56" s="7">
        <f t="shared" si="1"/>
        <v>750</v>
      </c>
      <c r="M56" s="14">
        <f t="shared" si="2"/>
        <v>750</v>
      </c>
    </row>
    <row r="57" spans="1:13" x14ac:dyDescent="0.35">
      <c r="A57" s="3" t="s">
        <v>12</v>
      </c>
      <c r="B57" s="3" t="s">
        <v>13</v>
      </c>
      <c r="C57" s="3" t="s">
        <v>13</v>
      </c>
      <c r="D57" s="4" t="s">
        <v>263</v>
      </c>
      <c r="E57" s="4" t="s">
        <v>264</v>
      </c>
      <c r="F57" s="5">
        <v>0.05</v>
      </c>
      <c r="G57" s="10">
        <v>3</v>
      </c>
      <c r="H57" s="7">
        <v>130</v>
      </c>
      <c r="I57" s="7">
        <v>180</v>
      </c>
      <c r="J57" s="7">
        <v>180</v>
      </c>
      <c r="K57" s="7">
        <f t="shared" si="0"/>
        <v>390</v>
      </c>
      <c r="L57" s="7">
        <f t="shared" si="1"/>
        <v>540</v>
      </c>
      <c r="M57" s="14">
        <f t="shared" si="2"/>
        <v>540</v>
      </c>
    </row>
    <row r="58" spans="1:13" x14ac:dyDescent="0.35">
      <c r="A58" s="3" t="s">
        <v>1639</v>
      </c>
      <c r="B58" s="3" t="s">
        <v>13</v>
      </c>
      <c r="C58" s="3" t="s">
        <v>1640</v>
      </c>
      <c r="D58" s="4" t="s">
        <v>1641</v>
      </c>
      <c r="E58" s="4" t="s">
        <v>1642</v>
      </c>
      <c r="F58" s="5">
        <v>0</v>
      </c>
      <c r="G58" s="6">
        <v>3</v>
      </c>
      <c r="H58" s="7">
        <v>210</v>
      </c>
      <c r="I58" s="7">
        <v>240</v>
      </c>
      <c r="J58" s="7">
        <v>250</v>
      </c>
      <c r="K58" s="7">
        <f t="shared" si="0"/>
        <v>630</v>
      </c>
      <c r="L58" s="7">
        <f t="shared" si="1"/>
        <v>720</v>
      </c>
      <c r="M58" s="14">
        <f t="shared" si="2"/>
        <v>750</v>
      </c>
    </row>
    <row r="59" spans="1:13" x14ac:dyDescent="0.35">
      <c r="A59" s="3" t="s">
        <v>12</v>
      </c>
      <c r="B59" s="3" t="s">
        <v>13</v>
      </c>
      <c r="C59" s="3" t="s">
        <v>14</v>
      </c>
      <c r="D59" s="4" t="s">
        <v>15</v>
      </c>
      <c r="E59" s="4" t="s">
        <v>16</v>
      </c>
      <c r="F59" s="5">
        <v>0.5</v>
      </c>
      <c r="G59" s="10">
        <v>4</v>
      </c>
      <c r="H59" s="7">
        <v>65</v>
      </c>
      <c r="I59" s="7">
        <v>90</v>
      </c>
      <c r="J59" s="7">
        <v>90</v>
      </c>
      <c r="K59" s="7">
        <f t="shared" si="0"/>
        <v>260</v>
      </c>
      <c r="L59" s="7">
        <f t="shared" si="1"/>
        <v>360</v>
      </c>
      <c r="M59" s="14">
        <f t="shared" si="2"/>
        <v>360</v>
      </c>
    </row>
    <row r="60" spans="1:13" x14ac:dyDescent="0.35">
      <c r="A60" s="3" t="s">
        <v>12</v>
      </c>
      <c r="B60" s="3" t="s">
        <v>13</v>
      </c>
      <c r="C60" s="3" t="s">
        <v>14</v>
      </c>
      <c r="D60" s="4" t="s">
        <v>21</v>
      </c>
      <c r="E60" s="4" t="s">
        <v>22</v>
      </c>
      <c r="F60" s="5">
        <v>0.12</v>
      </c>
      <c r="G60" s="10">
        <v>4</v>
      </c>
      <c r="H60" s="7">
        <v>80</v>
      </c>
      <c r="I60" s="7">
        <v>100</v>
      </c>
      <c r="J60" s="7">
        <v>100</v>
      </c>
      <c r="K60" s="7">
        <f t="shared" si="0"/>
        <v>320</v>
      </c>
      <c r="L60" s="7">
        <f t="shared" si="1"/>
        <v>400</v>
      </c>
      <c r="M60" s="14">
        <f t="shared" si="2"/>
        <v>400</v>
      </c>
    </row>
    <row r="61" spans="1:13" x14ac:dyDescent="0.35">
      <c r="A61" s="3" t="s">
        <v>12</v>
      </c>
      <c r="B61" s="3" t="s">
        <v>13</v>
      </c>
      <c r="C61" s="3" t="s">
        <v>74</v>
      </c>
      <c r="D61" s="4" t="s">
        <v>77</v>
      </c>
      <c r="E61" s="4" t="s">
        <v>78</v>
      </c>
      <c r="F61" s="5">
        <v>0</v>
      </c>
      <c r="G61" s="10">
        <v>4</v>
      </c>
      <c r="H61" s="7">
        <v>18.5</v>
      </c>
      <c r="I61" s="7">
        <v>30</v>
      </c>
      <c r="J61" s="7">
        <v>30</v>
      </c>
      <c r="K61" s="7">
        <f t="shared" si="0"/>
        <v>74</v>
      </c>
      <c r="L61" s="7">
        <f t="shared" si="1"/>
        <v>120</v>
      </c>
      <c r="M61" s="14">
        <f t="shared" si="2"/>
        <v>120</v>
      </c>
    </row>
    <row r="62" spans="1:13" x14ac:dyDescent="0.35">
      <c r="A62" s="3" t="s">
        <v>12</v>
      </c>
      <c r="B62" s="3" t="s">
        <v>13</v>
      </c>
      <c r="C62" s="3" t="s">
        <v>79</v>
      </c>
      <c r="D62" s="4" t="s">
        <v>80</v>
      </c>
      <c r="E62" s="4" t="s">
        <v>81</v>
      </c>
      <c r="F62" s="5">
        <v>0.22700000000000001</v>
      </c>
      <c r="G62" s="10">
        <v>4</v>
      </c>
      <c r="H62" s="7">
        <v>280</v>
      </c>
      <c r="I62" s="7">
        <v>320</v>
      </c>
      <c r="J62" s="7">
        <v>320</v>
      </c>
      <c r="K62" s="7">
        <f t="shared" si="0"/>
        <v>1120</v>
      </c>
      <c r="L62" s="7">
        <f t="shared" si="1"/>
        <v>1280</v>
      </c>
      <c r="M62" s="14">
        <f t="shared" si="2"/>
        <v>1280</v>
      </c>
    </row>
    <row r="63" spans="1:13" x14ac:dyDescent="0.35">
      <c r="A63" s="3" t="s">
        <v>12</v>
      </c>
      <c r="B63" s="3" t="s">
        <v>13</v>
      </c>
      <c r="C63" s="3" t="s">
        <v>108</v>
      </c>
      <c r="D63" s="4" t="s">
        <v>111</v>
      </c>
      <c r="E63" s="4" t="s">
        <v>112</v>
      </c>
      <c r="F63" s="5">
        <v>1</v>
      </c>
      <c r="G63" s="10">
        <v>4</v>
      </c>
      <c r="H63" s="7">
        <v>700</v>
      </c>
      <c r="I63" s="7">
        <v>760</v>
      </c>
      <c r="J63" s="7">
        <v>800</v>
      </c>
      <c r="K63" s="7">
        <f t="shared" si="0"/>
        <v>2800</v>
      </c>
      <c r="L63" s="7">
        <f t="shared" si="1"/>
        <v>3040</v>
      </c>
      <c r="M63" s="14">
        <f t="shared" si="2"/>
        <v>3200</v>
      </c>
    </row>
    <row r="64" spans="1:13" x14ac:dyDescent="0.35">
      <c r="A64" s="3" t="s">
        <v>12</v>
      </c>
      <c r="B64" s="3" t="s">
        <v>13</v>
      </c>
      <c r="C64" s="3" t="s">
        <v>108</v>
      </c>
      <c r="D64" s="4" t="s">
        <v>113</v>
      </c>
      <c r="E64" s="4" t="s">
        <v>114</v>
      </c>
      <c r="F64" s="5">
        <v>1</v>
      </c>
      <c r="G64" s="10">
        <v>4</v>
      </c>
      <c r="H64" s="7">
        <v>225</v>
      </c>
      <c r="I64" s="7">
        <v>280</v>
      </c>
      <c r="J64" s="7">
        <v>300</v>
      </c>
      <c r="K64" s="7">
        <f t="shared" si="0"/>
        <v>900</v>
      </c>
      <c r="L64" s="7">
        <f t="shared" si="1"/>
        <v>1120</v>
      </c>
      <c r="M64" s="14">
        <f t="shared" si="2"/>
        <v>1200</v>
      </c>
    </row>
    <row r="65" spans="1:13" x14ac:dyDescent="0.35">
      <c r="A65" s="3" t="s">
        <v>12</v>
      </c>
      <c r="B65" s="3" t="s">
        <v>13</v>
      </c>
      <c r="C65" s="3" t="s">
        <v>143</v>
      </c>
      <c r="D65" s="4" t="s">
        <v>150</v>
      </c>
      <c r="E65" s="4" t="s">
        <v>151</v>
      </c>
      <c r="F65" s="5">
        <v>0.08</v>
      </c>
      <c r="G65" s="10">
        <v>4</v>
      </c>
      <c r="H65" s="7">
        <v>80</v>
      </c>
      <c r="I65" s="7">
        <v>100</v>
      </c>
      <c r="J65" s="7">
        <v>100</v>
      </c>
      <c r="K65" s="7">
        <f t="shared" si="0"/>
        <v>320</v>
      </c>
      <c r="L65" s="7">
        <f t="shared" si="1"/>
        <v>400</v>
      </c>
      <c r="M65" s="14">
        <f t="shared" si="2"/>
        <v>400</v>
      </c>
    </row>
    <row r="66" spans="1:13" x14ac:dyDescent="0.35">
      <c r="A66" s="3" t="s">
        <v>12</v>
      </c>
      <c r="B66" s="3" t="s">
        <v>13</v>
      </c>
      <c r="C66" s="3" t="s">
        <v>143</v>
      </c>
      <c r="D66" s="4" t="s">
        <v>194</v>
      </c>
      <c r="E66" s="4" t="s">
        <v>195</v>
      </c>
      <c r="F66" s="5">
        <v>0.05</v>
      </c>
      <c r="G66" s="10">
        <v>4</v>
      </c>
      <c r="H66" s="7">
        <v>40</v>
      </c>
      <c r="I66" s="7">
        <v>50</v>
      </c>
      <c r="J66" s="7">
        <v>50</v>
      </c>
      <c r="K66" s="7">
        <f t="shared" si="0"/>
        <v>160</v>
      </c>
      <c r="L66" s="7">
        <f t="shared" si="1"/>
        <v>200</v>
      </c>
      <c r="M66" s="14">
        <f t="shared" si="2"/>
        <v>200</v>
      </c>
    </row>
    <row r="67" spans="1:13" x14ac:dyDescent="0.35">
      <c r="A67" s="3" t="s">
        <v>12</v>
      </c>
      <c r="B67" s="3" t="s">
        <v>13</v>
      </c>
      <c r="C67" s="3" t="s">
        <v>143</v>
      </c>
      <c r="D67" s="4" t="s">
        <v>196</v>
      </c>
      <c r="E67" s="4" t="s">
        <v>197</v>
      </c>
      <c r="F67" s="5">
        <v>0.05</v>
      </c>
      <c r="G67" s="10">
        <v>4</v>
      </c>
      <c r="H67" s="7">
        <v>50</v>
      </c>
      <c r="I67" s="7">
        <v>60</v>
      </c>
      <c r="J67" s="7">
        <v>60</v>
      </c>
      <c r="K67" s="7">
        <f t="shared" si="0"/>
        <v>200</v>
      </c>
      <c r="L67" s="7">
        <f t="shared" si="1"/>
        <v>240</v>
      </c>
      <c r="M67" s="14">
        <f t="shared" si="2"/>
        <v>240</v>
      </c>
    </row>
    <row r="68" spans="1:13" x14ac:dyDescent="0.35">
      <c r="A68" s="3" t="s">
        <v>12</v>
      </c>
      <c r="B68" s="3" t="s">
        <v>13</v>
      </c>
      <c r="C68" s="3" t="s">
        <v>13</v>
      </c>
      <c r="D68" s="4" t="s">
        <v>279</v>
      </c>
      <c r="E68" s="4" t="s">
        <v>280</v>
      </c>
      <c r="F68" s="5">
        <v>0</v>
      </c>
      <c r="G68" s="10">
        <v>4</v>
      </c>
      <c r="H68" s="7">
        <v>120</v>
      </c>
      <c r="I68" s="7">
        <v>140</v>
      </c>
      <c r="J68" s="7">
        <v>150</v>
      </c>
      <c r="K68" s="7">
        <f t="shared" si="0"/>
        <v>480</v>
      </c>
      <c r="L68" s="7">
        <f t="shared" si="1"/>
        <v>560</v>
      </c>
      <c r="M68" s="14">
        <f t="shared" si="2"/>
        <v>600</v>
      </c>
    </row>
    <row r="69" spans="1:13" x14ac:dyDescent="0.35">
      <c r="A69" s="3" t="s">
        <v>12</v>
      </c>
      <c r="B69" s="3" t="s">
        <v>13</v>
      </c>
      <c r="C69" s="3" t="s">
        <v>14</v>
      </c>
      <c r="D69" s="4" t="s">
        <v>25</v>
      </c>
      <c r="E69" s="4" t="s">
        <v>26</v>
      </c>
      <c r="F69" s="5">
        <v>0.05</v>
      </c>
      <c r="G69" s="10">
        <v>5</v>
      </c>
      <c r="H69" s="7">
        <v>50</v>
      </c>
      <c r="I69" s="7">
        <v>60</v>
      </c>
      <c r="J69" s="7">
        <v>70</v>
      </c>
      <c r="K69" s="7">
        <f t="shared" si="0"/>
        <v>250</v>
      </c>
      <c r="L69" s="7">
        <f t="shared" si="1"/>
        <v>300</v>
      </c>
      <c r="M69" s="14">
        <f t="shared" si="2"/>
        <v>350</v>
      </c>
    </row>
    <row r="70" spans="1:13" x14ac:dyDescent="0.35">
      <c r="A70" s="3" t="s">
        <v>12</v>
      </c>
      <c r="B70" s="3" t="s">
        <v>13</v>
      </c>
      <c r="C70" s="3" t="s">
        <v>14</v>
      </c>
      <c r="D70" s="4" t="s">
        <v>38</v>
      </c>
      <c r="E70" s="4" t="s">
        <v>39</v>
      </c>
      <c r="F70" s="5">
        <v>0.25</v>
      </c>
      <c r="G70" s="10">
        <v>5</v>
      </c>
      <c r="H70" s="7">
        <v>46.5</v>
      </c>
      <c r="I70" s="7">
        <v>60</v>
      </c>
      <c r="J70" s="7">
        <v>60</v>
      </c>
      <c r="K70" s="7">
        <f t="shared" si="0"/>
        <v>232.5</v>
      </c>
      <c r="L70" s="7">
        <f t="shared" si="1"/>
        <v>300</v>
      </c>
      <c r="M70" s="14">
        <f t="shared" si="2"/>
        <v>300</v>
      </c>
    </row>
    <row r="71" spans="1:13" x14ac:dyDescent="0.35">
      <c r="A71" s="3" t="s">
        <v>12</v>
      </c>
      <c r="B71" s="3" t="s">
        <v>13</v>
      </c>
      <c r="C71" s="3" t="s">
        <v>14</v>
      </c>
      <c r="D71" s="4" t="s">
        <v>56</v>
      </c>
      <c r="E71" s="4" t="s">
        <v>57</v>
      </c>
      <c r="F71" s="5">
        <v>0.5</v>
      </c>
      <c r="G71" s="10">
        <v>5</v>
      </c>
      <c r="H71" s="7">
        <v>120</v>
      </c>
      <c r="I71" s="7">
        <v>120</v>
      </c>
      <c r="J71" s="7">
        <v>140</v>
      </c>
      <c r="K71" s="7">
        <f t="shared" si="0"/>
        <v>600</v>
      </c>
      <c r="L71" s="7">
        <f t="shared" si="1"/>
        <v>600</v>
      </c>
      <c r="M71" s="14">
        <f t="shared" si="2"/>
        <v>700</v>
      </c>
    </row>
    <row r="72" spans="1:13" x14ac:dyDescent="0.35">
      <c r="A72" s="3" t="s">
        <v>12</v>
      </c>
      <c r="B72" s="3" t="s">
        <v>13</v>
      </c>
      <c r="C72" s="3" t="s">
        <v>14</v>
      </c>
      <c r="D72" s="4" t="s">
        <v>64</v>
      </c>
      <c r="E72" s="4" t="s">
        <v>65</v>
      </c>
      <c r="F72" s="5">
        <v>0.25</v>
      </c>
      <c r="G72" s="10">
        <v>5</v>
      </c>
      <c r="H72" s="7">
        <v>62</v>
      </c>
      <c r="I72" s="7">
        <v>60</v>
      </c>
      <c r="J72" s="7">
        <v>80</v>
      </c>
      <c r="K72" s="7">
        <f t="shared" si="0"/>
        <v>310</v>
      </c>
      <c r="L72" s="7">
        <f t="shared" si="1"/>
        <v>300</v>
      </c>
      <c r="M72" s="14">
        <f t="shared" si="2"/>
        <v>400</v>
      </c>
    </row>
    <row r="73" spans="1:13" x14ac:dyDescent="0.35">
      <c r="A73" s="3" t="s">
        <v>12</v>
      </c>
      <c r="B73" s="3" t="s">
        <v>13</v>
      </c>
      <c r="C73" s="3" t="s">
        <v>108</v>
      </c>
      <c r="D73" s="4" t="s">
        <v>115</v>
      </c>
      <c r="E73" s="4" t="s">
        <v>116</v>
      </c>
      <c r="F73" s="5">
        <v>1</v>
      </c>
      <c r="G73" s="10">
        <v>5</v>
      </c>
      <c r="H73" s="7">
        <v>80</v>
      </c>
      <c r="I73" s="7">
        <v>100</v>
      </c>
      <c r="J73" s="7">
        <v>120</v>
      </c>
      <c r="K73" s="7">
        <f t="shared" si="0"/>
        <v>400</v>
      </c>
      <c r="L73" s="7">
        <f t="shared" si="1"/>
        <v>500</v>
      </c>
      <c r="M73" s="14">
        <f t="shared" si="2"/>
        <v>600</v>
      </c>
    </row>
    <row r="74" spans="1:13" x14ac:dyDescent="0.35">
      <c r="A74" s="3" t="s">
        <v>12</v>
      </c>
      <c r="B74" s="3" t="s">
        <v>13</v>
      </c>
      <c r="C74" s="3" t="s">
        <v>108</v>
      </c>
      <c r="D74" s="4" t="s">
        <v>125</v>
      </c>
      <c r="E74" s="4" t="s">
        <v>126</v>
      </c>
      <c r="F74" s="5">
        <v>0.5</v>
      </c>
      <c r="G74" s="10">
        <v>5</v>
      </c>
      <c r="H74" s="7">
        <v>144</v>
      </c>
      <c r="I74" s="7">
        <v>170</v>
      </c>
      <c r="J74" s="7">
        <v>180</v>
      </c>
      <c r="K74" s="7">
        <f t="shared" si="0"/>
        <v>720</v>
      </c>
      <c r="L74" s="7">
        <f t="shared" si="1"/>
        <v>850</v>
      </c>
      <c r="M74" s="14">
        <f t="shared" si="2"/>
        <v>900</v>
      </c>
    </row>
    <row r="75" spans="1:13" x14ac:dyDescent="0.35">
      <c r="A75" s="3" t="s">
        <v>12</v>
      </c>
      <c r="B75" s="3" t="s">
        <v>13</v>
      </c>
      <c r="C75" s="3" t="s">
        <v>143</v>
      </c>
      <c r="D75" s="4" t="s">
        <v>156</v>
      </c>
      <c r="E75" s="4" t="s">
        <v>157</v>
      </c>
      <c r="F75" s="5">
        <v>0.25</v>
      </c>
      <c r="G75" s="10">
        <v>5</v>
      </c>
      <c r="H75" s="7">
        <v>55</v>
      </c>
      <c r="I75" s="7">
        <v>60</v>
      </c>
      <c r="J75" s="7">
        <v>60</v>
      </c>
      <c r="K75" s="7">
        <f t="shared" si="0"/>
        <v>275</v>
      </c>
      <c r="L75" s="7">
        <f t="shared" si="1"/>
        <v>300</v>
      </c>
      <c r="M75" s="14">
        <f t="shared" si="2"/>
        <v>300</v>
      </c>
    </row>
    <row r="76" spans="1:13" x14ac:dyDescent="0.35">
      <c r="A76" s="3" t="s">
        <v>12</v>
      </c>
      <c r="B76" s="3" t="s">
        <v>13</v>
      </c>
      <c r="C76" s="3" t="s">
        <v>13</v>
      </c>
      <c r="D76" s="4" t="s">
        <v>254</v>
      </c>
      <c r="E76" s="4" t="s">
        <v>255</v>
      </c>
      <c r="F76" s="5">
        <v>0</v>
      </c>
      <c r="G76" s="10">
        <v>5</v>
      </c>
      <c r="H76" s="7">
        <v>137</v>
      </c>
      <c r="I76" s="7">
        <v>180</v>
      </c>
      <c r="J76" s="7">
        <v>180</v>
      </c>
      <c r="K76" s="7">
        <f t="shared" ref="K76:K139" si="3">H76*G76</f>
        <v>685</v>
      </c>
      <c r="L76" s="7">
        <f t="shared" ref="L76:L139" si="4">I76*G76</f>
        <v>900</v>
      </c>
      <c r="M76" s="14">
        <f t="shared" ref="M76:M139" si="5">J76*G76</f>
        <v>900</v>
      </c>
    </row>
    <row r="77" spans="1:13" x14ac:dyDescent="0.35">
      <c r="A77" s="3" t="s">
        <v>12</v>
      </c>
      <c r="B77" s="3" t="s">
        <v>13</v>
      </c>
      <c r="C77" s="3" t="s">
        <v>13</v>
      </c>
      <c r="D77" s="4" t="s">
        <v>281</v>
      </c>
      <c r="E77" s="4" t="s">
        <v>282</v>
      </c>
      <c r="F77" s="5">
        <v>0</v>
      </c>
      <c r="G77" s="10">
        <v>5</v>
      </c>
      <c r="H77" s="7">
        <v>122.66</v>
      </c>
      <c r="I77" s="7">
        <v>150</v>
      </c>
      <c r="J77" s="7">
        <v>150</v>
      </c>
      <c r="K77" s="7">
        <f t="shared" si="3"/>
        <v>613.29999999999995</v>
      </c>
      <c r="L77" s="7">
        <f t="shared" si="4"/>
        <v>750</v>
      </c>
      <c r="M77" s="14">
        <f t="shared" si="5"/>
        <v>750</v>
      </c>
    </row>
    <row r="78" spans="1:13" x14ac:dyDescent="0.35">
      <c r="A78" s="3" t="s">
        <v>12</v>
      </c>
      <c r="B78" s="3" t="s">
        <v>13</v>
      </c>
      <c r="C78" s="3" t="s">
        <v>14</v>
      </c>
      <c r="D78" s="4" t="s">
        <v>48</v>
      </c>
      <c r="E78" s="4" t="s">
        <v>49</v>
      </c>
      <c r="F78" s="5">
        <v>0.5</v>
      </c>
      <c r="G78" s="10">
        <v>6</v>
      </c>
      <c r="H78" s="7">
        <v>101</v>
      </c>
      <c r="I78" s="7">
        <v>140</v>
      </c>
      <c r="J78" s="7">
        <v>190</v>
      </c>
      <c r="K78" s="7">
        <f t="shared" si="3"/>
        <v>606</v>
      </c>
      <c r="L78" s="7">
        <f t="shared" si="4"/>
        <v>840</v>
      </c>
      <c r="M78" s="14">
        <f t="shared" si="5"/>
        <v>1140</v>
      </c>
    </row>
    <row r="79" spans="1:13" x14ac:dyDescent="0.35">
      <c r="A79" s="3" t="s">
        <v>12</v>
      </c>
      <c r="B79" s="3" t="s">
        <v>13</v>
      </c>
      <c r="C79" s="3" t="s">
        <v>14</v>
      </c>
      <c r="D79" s="4" t="s">
        <v>52</v>
      </c>
      <c r="E79" s="4" t="s">
        <v>53</v>
      </c>
      <c r="F79" s="5">
        <v>0.25</v>
      </c>
      <c r="G79" s="10">
        <v>6</v>
      </c>
      <c r="H79" s="7">
        <v>90.62</v>
      </c>
      <c r="I79" s="7">
        <v>100</v>
      </c>
      <c r="J79" s="7">
        <v>100</v>
      </c>
      <c r="K79" s="7">
        <f t="shared" si="3"/>
        <v>543.72</v>
      </c>
      <c r="L79" s="7">
        <f t="shared" si="4"/>
        <v>600</v>
      </c>
      <c r="M79" s="14">
        <f t="shared" si="5"/>
        <v>600</v>
      </c>
    </row>
    <row r="80" spans="1:13" x14ac:dyDescent="0.35">
      <c r="A80" s="3" t="s">
        <v>12</v>
      </c>
      <c r="B80" s="3" t="s">
        <v>13</v>
      </c>
      <c r="C80" s="3" t="s">
        <v>79</v>
      </c>
      <c r="D80" s="4" t="s">
        <v>84</v>
      </c>
      <c r="E80" s="4" t="s">
        <v>85</v>
      </c>
      <c r="F80" s="5">
        <v>0</v>
      </c>
      <c r="G80" s="10">
        <v>6</v>
      </c>
      <c r="H80" s="7">
        <v>73.33</v>
      </c>
      <c r="I80" s="7">
        <v>100</v>
      </c>
      <c r="J80" s="7">
        <v>100</v>
      </c>
      <c r="K80" s="7">
        <f t="shared" si="3"/>
        <v>439.98</v>
      </c>
      <c r="L80" s="7">
        <f t="shared" si="4"/>
        <v>600</v>
      </c>
      <c r="M80" s="14">
        <f t="shared" si="5"/>
        <v>600</v>
      </c>
    </row>
    <row r="81" spans="1:13" x14ac:dyDescent="0.35">
      <c r="A81" s="3" t="s">
        <v>12</v>
      </c>
      <c r="B81" s="3" t="s">
        <v>13</v>
      </c>
      <c r="C81" s="3" t="s">
        <v>108</v>
      </c>
      <c r="D81" s="4" t="s">
        <v>117</v>
      </c>
      <c r="E81" s="4" t="s">
        <v>118</v>
      </c>
      <c r="F81" s="5">
        <v>0.5</v>
      </c>
      <c r="G81" s="10">
        <v>6</v>
      </c>
      <c r="H81" s="7">
        <v>175</v>
      </c>
      <c r="I81" s="7">
        <v>190</v>
      </c>
      <c r="J81" s="7">
        <v>190</v>
      </c>
      <c r="K81" s="7">
        <f t="shared" si="3"/>
        <v>1050</v>
      </c>
      <c r="L81" s="7">
        <f t="shared" si="4"/>
        <v>1140</v>
      </c>
      <c r="M81" s="14">
        <f t="shared" si="5"/>
        <v>1140</v>
      </c>
    </row>
    <row r="82" spans="1:13" x14ac:dyDescent="0.35">
      <c r="A82" s="3" t="s">
        <v>12</v>
      </c>
      <c r="B82" s="3" t="s">
        <v>13</v>
      </c>
      <c r="C82" s="3" t="s">
        <v>143</v>
      </c>
      <c r="D82" s="4" t="s">
        <v>186</v>
      </c>
      <c r="E82" s="4" t="s">
        <v>187</v>
      </c>
      <c r="F82" s="5">
        <v>0.08</v>
      </c>
      <c r="G82" s="10">
        <v>6</v>
      </c>
      <c r="H82" s="7">
        <v>90</v>
      </c>
      <c r="I82" s="7">
        <v>100</v>
      </c>
      <c r="J82" s="7">
        <v>100</v>
      </c>
      <c r="K82" s="7">
        <f t="shared" si="3"/>
        <v>540</v>
      </c>
      <c r="L82" s="7">
        <f t="shared" si="4"/>
        <v>600</v>
      </c>
      <c r="M82" s="14">
        <f t="shared" si="5"/>
        <v>600</v>
      </c>
    </row>
    <row r="83" spans="1:13" ht="15" customHeight="1" x14ac:dyDescent="0.35">
      <c r="A83" s="3" t="s">
        <v>12</v>
      </c>
      <c r="B83" s="3" t="s">
        <v>13</v>
      </c>
      <c r="C83" s="3" t="s">
        <v>13</v>
      </c>
      <c r="D83" s="4" t="s">
        <v>289</v>
      </c>
      <c r="E83" s="4" t="s">
        <v>290</v>
      </c>
      <c r="F83" s="5">
        <v>0.4</v>
      </c>
      <c r="G83" s="10">
        <v>6</v>
      </c>
      <c r="H83" s="7">
        <v>75</v>
      </c>
      <c r="I83" s="7">
        <v>100</v>
      </c>
      <c r="J83" s="7">
        <v>100</v>
      </c>
      <c r="K83" s="7">
        <f t="shared" si="3"/>
        <v>450</v>
      </c>
      <c r="L83" s="7">
        <f t="shared" si="4"/>
        <v>600</v>
      </c>
      <c r="M83" s="14">
        <f t="shared" si="5"/>
        <v>600</v>
      </c>
    </row>
    <row r="84" spans="1:13" x14ac:dyDescent="0.35">
      <c r="A84" s="3" t="s">
        <v>12</v>
      </c>
      <c r="B84" s="3" t="s">
        <v>13</v>
      </c>
      <c r="C84" s="3" t="s">
        <v>14</v>
      </c>
      <c r="D84" s="4" t="s">
        <v>23</v>
      </c>
      <c r="E84" s="4" t="s">
        <v>24</v>
      </c>
      <c r="F84" s="5">
        <v>0.1</v>
      </c>
      <c r="G84" s="10">
        <v>7</v>
      </c>
      <c r="H84" s="7">
        <v>75</v>
      </c>
      <c r="I84" s="7">
        <v>100</v>
      </c>
      <c r="J84" s="7">
        <v>120</v>
      </c>
      <c r="K84" s="7">
        <f t="shared" si="3"/>
        <v>525</v>
      </c>
      <c r="L84" s="7">
        <f t="shared" si="4"/>
        <v>700</v>
      </c>
      <c r="M84" s="14">
        <f t="shared" si="5"/>
        <v>840</v>
      </c>
    </row>
    <row r="85" spans="1:13" x14ac:dyDescent="0.35">
      <c r="A85" s="3" t="s">
        <v>12</v>
      </c>
      <c r="B85" s="3" t="s">
        <v>13</v>
      </c>
      <c r="C85" s="3" t="s">
        <v>143</v>
      </c>
      <c r="D85" s="4" t="s">
        <v>144</v>
      </c>
      <c r="E85" s="4" t="s">
        <v>145</v>
      </c>
      <c r="F85" s="5">
        <v>0.1</v>
      </c>
      <c r="G85" s="10">
        <v>7</v>
      </c>
      <c r="H85" s="7">
        <v>160</v>
      </c>
      <c r="I85" s="7">
        <v>200</v>
      </c>
      <c r="J85" s="7">
        <v>200</v>
      </c>
      <c r="K85" s="7">
        <f t="shared" si="3"/>
        <v>1120</v>
      </c>
      <c r="L85" s="7">
        <f t="shared" si="4"/>
        <v>1400</v>
      </c>
      <c r="M85" s="14">
        <f t="shared" si="5"/>
        <v>1400</v>
      </c>
    </row>
    <row r="86" spans="1:13" x14ac:dyDescent="0.35">
      <c r="A86" s="3" t="s">
        <v>12</v>
      </c>
      <c r="B86" s="3" t="s">
        <v>13</v>
      </c>
      <c r="C86" s="3" t="s">
        <v>143</v>
      </c>
      <c r="D86" s="4" t="s">
        <v>166</v>
      </c>
      <c r="E86" s="4" t="s">
        <v>167</v>
      </c>
      <c r="F86" s="5">
        <v>0.02</v>
      </c>
      <c r="G86" s="10">
        <v>7</v>
      </c>
      <c r="H86" s="7">
        <v>45</v>
      </c>
      <c r="I86" s="7">
        <v>50</v>
      </c>
      <c r="J86" s="7">
        <v>50</v>
      </c>
      <c r="K86" s="7">
        <f t="shared" si="3"/>
        <v>315</v>
      </c>
      <c r="L86" s="7">
        <f t="shared" si="4"/>
        <v>350</v>
      </c>
      <c r="M86" s="14">
        <f t="shared" si="5"/>
        <v>350</v>
      </c>
    </row>
    <row r="87" spans="1:13" ht="15" customHeight="1" x14ac:dyDescent="0.35">
      <c r="A87" s="3" t="s">
        <v>12</v>
      </c>
      <c r="B87" s="3" t="s">
        <v>13</v>
      </c>
      <c r="C87" s="3" t="s">
        <v>143</v>
      </c>
      <c r="D87" s="4" t="s">
        <v>198</v>
      </c>
      <c r="E87" s="4" t="s">
        <v>199</v>
      </c>
      <c r="F87" s="5">
        <v>0.05</v>
      </c>
      <c r="G87" s="10">
        <v>7</v>
      </c>
      <c r="H87" s="7">
        <v>40</v>
      </c>
      <c r="I87" s="7">
        <v>50</v>
      </c>
      <c r="J87" s="7">
        <v>50</v>
      </c>
      <c r="K87" s="7">
        <f t="shared" si="3"/>
        <v>280</v>
      </c>
      <c r="L87" s="7">
        <f t="shared" si="4"/>
        <v>350</v>
      </c>
      <c r="M87" s="14">
        <f t="shared" si="5"/>
        <v>350</v>
      </c>
    </row>
    <row r="88" spans="1:13" x14ac:dyDescent="0.35">
      <c r="A88" s="3" t="s">
        <v>12</v>
      </c>
      <c r="B88" s="3" t="s">
        <v>13</v>
      </c>
      <c r="C88" s="3" t="s">
        <v>143</v>
      </c>
      <c r="D88" s="4" t="s">
        <v>200</v>
      </c>
      <c r="E88" s="4" t="s">
        <v>201</v>
      </c>
      <c r="F88" s="5">
        <v>0.05</v>
      </c>
      <c r="G88" s="10">
        <v>7</v>
      </c>
      <c r="H88" s="7">
        <v>40</v>
      </c>
      <c r="I88" s="7">
        <v>50</v>
      </c>
      <c r="J88" s="7">
        <v>50</v>
      </c>
      <c r="K88" s="7">
        <f t="shared" si="3"/>
        <v>280</v>
      </c>
      <c r="L88" s="7">
        <f t="shared" si="4"/>
        <v>350</v>
      </c>
      <c r="M88" s="14">
        <f t="shared" si="5"/>
        <v>350</v>
      </c>
    </row>
    <row r="89" spans="1:13" x14ac:dyDescent="0.35">
      <c r="A89" s="3" t="s">
        <v>12</v>
      </c>
      <c r="B89" s="3" t="s">
        <v>13</v>
      </c>
      <c r="C89" s="3" t="s">
        <v>108</v>
      </c>
      <c r="D89" s="4" t="s">
        <v>127</v>
      </c>
      <c r="E89" s="4" t="s">
        <v>128</v>
      </c>
      <c r="F89" s="5">
        <v>1</v>
      </c>
      <c r="G89" s="10">
        <v>8</v>
      </c>
      <c r="H89" s="7">
        <v>287.5</v>
      </c>
      <c r="I89" s="7">
        <v>340</v>
      </c>
      <c r="J89" s="7">
        <v>360</v>
      </c>
      <c r="K89" s="7">
        <f t="shared" si="3"/>
        <v>2300</v>
      </c>
      <c r="L89" s="7">
        <f t="shared" si="4"/>
        <v>2720</v>
      </c>
      <c r="M89" s="14">
        <f t="shared" si="5"/>
        <v>2880</v>
      </c>
    </row>
    <row r="90" spans="1:13" x14ac:dyDescent="0.35">
      <c r="A90" s="3" t="s">
        <v>12</v>
      </c>
      <c r="B90" s="3" t="s">
        <v>13</v>
      </c>
      <c r="C90" s="3" t="s">
        <v>143</v>
      </c>
      <c r="D90" s="4" t="s">
        <v>204</v>
      </c>
      <c r="E90" s="4" t="s">
        <v>205</v>
      </c>
      <c r="F90" s="5">
        <v>0.05</v>
      </c>
      <c r="G90" s="10">
        <v>8</v>
      </c>
      <c r="H90" s="7">
        <v>40</v>
      </c>
      <c r="I90" s="7">
        <v>50</v>
      </c>
      <c r="J90" s="7">
        <v>50</v>
      </c>
      <c r="K90" s="7">
        <f t="shared" si="3"/>
        <v>320</v>
      </c>
      <c r="L90" s="7">
        <f t="shared" si="4"/>
        <v>400</v>
      </c>
      <c r="M90" s="14">
        <f t="shared" si="5"/>
        <v>400</v>
      </c>
    </row>
    <row r="91" spans="1:13" x14ac:dyDescent="0.35">
      <c r="A91" s="3" t="s">
        <v>12</v>
      </c>
      <c r="B91" s="3" t="s">
        <v>13</v>
      </c>
      <c r="C91" s="3" t="s">
        <v>143</v>
      </c>
      <c r="D91" s="4" t="s">
        <v>206</v>
      </c>
      <c r="E91" s="4" t="s">
        <v>207</v>
      </c>
      <c r="F91" s="5">
        <v>0.01</v>
      </c>
      <c r="G91" s="10">
        <v>8</v>
      </c>
      <c r="H91" s="7">
        <v>75</v>
      </c>
      <c r="I91" s="7">
        <v>100</v>
      </c>
      <c r="J91" s="7">
        <v>100</v>
      </c>
      <c r="K91" s="7">
        <f t="shared" si="3"/>
        <v>600</v>
      </c>
      <c r="L91" s="7">
        <f t="shared" si="4"/>
        <v>800</v>
      </c>
      <c r="M91" s="14">
        <f t="shared" si="5"/>
        <v>800</v>
      </c>
    </row>
    <row r="92" spans="1:13" x14ac:dyDescent="0.35">
      <c r="A92" s="3" t="s">
        <v>12</v>
      </c>
      <c r="B92" s="3" t="s">
        <v>13</v>
      </c>
      <c r="C92" s="3" t="s">
        <v>143</v>
      </c>
      <c r="D92" s="4" t="s">
        <v>210</v>
      </c>
      <c r="E92" s="4" t="s">
        <v>211</v>
      </c>
      <c r="F92" s="5">
        <v>0.02</v>
      </c>
      <c r="G92" s="10">
        <v>8</v>
      </c>
      <c r="H92" s="7">
        <v>80</v>
      </c>
      <c r="I92" s="7">
        <v>100</v>
      </c>
      <c r="J92" s="7">
        <v>100</v>
      </c>
      <c r="K92" s="7">
        <f t="shared" si="3"/>
        <v>640</v>
      </c>
      <c r="L92" s="7">
        <f t="shared" si="4"/>
        <v>800</v>
      </c>
      <c r="M92" s="14">
        <f t="shared" si="5"/>
        <v>800</v>
      </c>
    </row>
    <row r="93" spans="1:13" x14ac:dyDescent="0.35">
      <c r="A93" s="3" t="s">
        <v>12</v>
      </c>
      <c r="B93" s="3" t="s">
        <v>13</v>
      </c>
      <c r="C93" s="3" t="s">
        <v>13</v>
      </c>
      <c r="D93" s="4" t="s">
        <v>273</v>
      </c>
      <c r="E93" s="4" t="s">
        <v>274</v>
      </c>
      <c r="F93" s="5">
        <v>0</v>
      </c>
      <c r="G93" s="10">
        <v>8</v>
      </c>
      <c r="H93" s="7">
        <v>46</v>
      </c>
      <c r="I93" s="7">
        <v>60</v>
      </c>
      <c r="J93" s="7">
        <v>60</v>
      </c>
      <c r="K93" s="7">
        <f t="shared" si="3"/>
        <v>368</v>
      </c>
      <c r="L93" s="7">
        <f t="shared" si="4"/>
        <v>480</v>
      </c>
      <c r="M93" s="14">
        <f t="shared" si="5"/>
        <v>480</v>
      </c>
    </row>
    <row r="94" spans="1:13" x14ac:dyDescent="0.35">
      <c r="A94" s="3" t="s">
        <v>12</v>
      </c>
      <c r="B94" s="3" t="s">
        <v>13</v>
      </c>
      <c r="C94" s="3" t="s">
        <v>291</v>
      </c>
      <c r="D94" s="4" t="s">
        <v>292</v>
      </c>
      <c r="E94" s="4" t="s">
        <v>293</v>
      </c>
      <c r="F94" s="5">
        <v>0</v>
      </c>
      <c r="G94" s="10">
        <v>8</v>
      </c>
      <c r="H94" s="7">
        <v>720</v>
      </c>
      <c r="I94" s="7">
        <v>800</v>
      </c>
      <c r="J94" s="7">
        <v>800</v>
      </c>
      <c r="K94" s="7">
        <f t="shared" si="3"/>
        <v>5760</v>
      </c>
      <c r="L94" s="7">
        <f t="shared" si="4"/>
        <v>6400</v>
      </c>
      <c r="M94" s="14">
        <f t="shared" si="5"/>
        <v>6400</v>
      </c>
    </row>
    <row r="95" spans="1:13" x14ac:dyDescent="0.35">
      <c r="A95" s="3" t="s">
        <v>12</v>
      </c>
      <c r="B95" s="3" t="s">
        <v>13</v>
      </c>
      <c r="C95" s="3" t="s">
        <v>79</v>
      </c>
      <c r="D95" s="4" t="s">
        <v>86</v>
      </c>
      <c r="E95" s="4" t="s">
        <v>87</v>
      </c>
      <c r="F95" s="5">
        <v>1</v>
      </c>
      <c r="G95" s="10">
        <v>9</v>
      </c>
      <c r="H95" s="7">
        <v>202</v>
      </c>
      <c r="I95" s="7">
        <v>280</v>
      </c>
      <c r="J95" s="7">
        <v>380</v>
      </c>
      <c r="K95" s="7">
        <f t="shared" si="3"/>
        <v>1818</v>
      </c>
      <c r="L95" s="7">
        <f t="shared" si="4"/>
        <v>2520</v>
      </c>
      <c r="M95" s="14">
        <f t="shared" si="5"/>
        <v>3420</v>
      </c>
    </row>
    <row r="96" spans="1:13" x14ac:dyDescent="0.35">
      <c r="A96" s="3" t="s">
        <v>12</v>
      </c>
      <c r="B96" s="3" t="s">
        <v>13</v>
      </c>
      <c r="C96" s="3" t="s">
        <v>108</v>
      </c>
      <c r="D96" s="4" t="s">
        <v>119</v>
      </c>
      <c r="E96" s="4" t="s">
        <v>120</v>
      </c>
      <c r="F96" s="5">
        <v>1</v>
      </c>
      <c r="G96" s="10">
        <v>10</v>
      </c>
      <c r="H96" s="7">
        <v>160</v>
      </c>
      <c r="I96" s="7">
        <v>200</v>
      </c>
      <c r="J96" s="7">
        <v>240</v>
      </c>
      <c r="K96" s="7">
        <f t="shared" si="3"/>
        <v>1600</v>
      </c>
      <c r="L96" s="7">
        <f t="shared" si="4"/>
        <v>2000</v>
      </c>
      <c r="M96" s="14">
        <f t="shared" si="5"/>
        <v>2400</v>
      </c>
    </row>
    <row r="97" spans="1:13" x14ac:dyDescent="0.35">
      <c r="A97" s="3" t="s">
        <v>12</v>
      </c>
      <c r="B97" s="3" t="s">
        <v>13</v>
      </c>
      <c r="C97" s="3" t="s">
        <v>131</v>
      </c>
      <c r="D97" s="4" t="s">
        <v>134</v>
      </c>
      <c r="E97" s="4" t="s">
        <v>135</v>
      </c>
      <c r="F97" s="5">
        <v>15</v>
      </c>
      <c r="G97" s="10">
        <v>10</v>
      </c>
      <c r="H97" s="7">
        <v>1500</v>
      </c>
      <c r="I97" s="7">
        <v>1500</v>
      </c>
      <c r="J97" s="7">
        <v>1600</v>
      </c>
      <c r="K97" s="7">
        <f t="shared" si="3"/>
        <v>15000</v>
      </c>
      <c r="L97" s="7">
        <f t="shared" si="4"/>
        <v>15000</v>
      </c>
      <c r="M97" s="14">
        <f t="shared" si="5"/>
        <v>16000</v>
      </c>
    </row>
    <row r="98" spans="1:13" x14ac:dyDescent="0.35">
      <c r="A98" s="3" t="s">
        <v>12</v>
      </c>
      <c r="B98" s="3" t="s">
        <v>13</v>
      </c>
      <c r="C98" s="3" t="s">
        <v>131</v>
      </c>
      <c r="D98" s="4" t="s">
        <v>136</v>
      </c>
      <c r="E98" s="4" t="s">
        <v>137</v>
      </c>
      <c r="F98" s="5">
        <v>20</v>
      </c>
      <c r="G98" s="10">
        <v>10</v>
      </c>
      <c r="H98" s="7">
        <v>2000</v>
      </c>
      <c r="I98" s="7">
        <v>2050</v>
      </c>
      <c r="J98" s="7">
        <v>2100</v>
      </c>
      <c r="K98" s="7">
        <f t="shared" si="3"/>
        <v>20000</v>
      </c>
      <c r="L98" s="7">
        <f t="shared" si="4"/>
        <v>20500</v>
      </c>
      <c r="M98" s="14">
        <f t="shared" si="5"/>
        <v>21000</v>
      </c>
    </row>
    <row r="99" spans="1:13" x14ac:dyDescent="0.35">
      <c r="A99" s="3" t="s">
        <v>12</v>
      </c>
      <c r="B99" s="3" t="s">
        <v>13</v>
      </c>
      <c r="C99" s="3" t="s">
        <v>143</v>
      </c>
      <c r="D99" s="4" t="s">
        <v>178</v>
      </c>
      <c r="E99" s="4" t="s">
        <v>179</v>
      </c>
      <c r="F99" s="5">
        <v>0.1</v>
      </c>
      <c r="G99" s="10">
        <v>10</v>
      </c>
      <c r="H99" s="7">
        <v>155</v>
      </c>
      <c r="I99" s="7">
        <v>200</v>
      </c>
      <c r="J99" s="7">
        <v>200</v>
      </c>
      <c r="K99" s="7">
        <f t="shared" si="3"/>
        <v>1550</v>
      </c>
      <c r="L99" s="7">
        <f t="shared" si="4"/>
        <v>2000</v>
      </c>
      <c r="M99" s="14">
        <f t="shared" si="5"/>
        <v>2000</v>
      </c>
    </row>
    <row r="100" spans="1:13" x14ac:dyDescent="0.35">
      <c r="A100" s="3" t="s">
        <v>12</v>
      </c>
      <c r="B100" s="3" t="s">
        <v>13</v>
      </c>
      <c r="C100" s="3" t="s">
        <v>143</v>
      </c>
      <c r="D100" s="4" t="s">
        <v>216</v>
      </c>
      <c r="E100" s="4" t="s">
        <v>217</v>
      </c>
      <c r="F100" s="5">
        <v>0.05</v>
      </c>
      <c r="G100" s="10">
        <v>10</v>
      </c>
      <c r="H100" s="7">
        <v>115</v>
      </c>
      <c r="I100" s="7">
        <v>120</v>
      </c>
      <c r="J100" s="7">
        <v>140</v>
      </c>
      <c r="K100" s="7">
        <f t="shared" si="3"/>
        <v>1150</v>
      </c>
      <c r="L100" s="7">
        <f t="shared" si="4"/>
        <v>1200</v>
      </c>
      <c r="M100" s="14">
        <f t="shared" si="5"/>
        <v>1400</v>
      </c>
    </row>
    <row r="101" spans="1:13" ht="15" customHeight="1" x14ac:dyDescent="0.35">
      <c r="A101" s="3" t="s">
        <v>12</v>
      </c>
      <c r="B101" s="3" t="s">
        <v>13</v>
      </c>
      <c r="C101" s="3" t="s">
        <v>143</v>
      </c>
      <c r="D101" s="4" t="s">
        <v>220</v>
      </c>
      <c r="E101" s="4" t="s">
        <v>221</v>
      </c>
      <c r="F101" s="5">
        <v>0.05</v>
      </c>
      <c r="G101" s="10">
        <v>10</v>
      </c>
      <c r="H101" s="7">
        <v>23</v>
      </c>
      <c r="I101" s="7">
        <v>40</v>
      </c>
      <c r="J101" s="7">
        <v>40</v>
      </c>
      <c r="K101" s="7">
        <f t="shared" si="3"/>
        <v>230</v>
      </c>
      <c r="L101" s="7">
        <f t="shared" si="4"/>
        <v>400</v>
      </c>
      <c r="M101" s="14">
        <f t="shared" si="5"/>
        <v>400</v>
      </c>
    </row>
    <row r="102" spans="1:13" x14ac:dyDescent="0.35">
      <c r="A102" s="3" t="s">
        <v>12</v>
      </c>
      <c r="B102" s="3" t="s">
        <v>13</v>
      </c>
      <c r="C102" s="3" t="s">
        <v>234</v>
      </c>
      <c r="D102" s="4" t="s">
        <v>235</v>
      </c>
      <c r="E102" s="4" t="s">
        <v>236</v>
      </c>
      <c r="F102" s="5">
        <v>0.5</v>
      </c>
      <c r="G102" s="10">
        <v>10</v>
      </c>
      <c r="H102" s="7">
        <v>100</v>
      </c>
      <c r="I102" s="7">
        <v>120</v>
      </c>
      <c r="J102" s="7">
        <v>125</v>
      </c>
      <c r="K102" s="7">
        <f t="shared" si="3"/>
        <v>1000</v>
      </c>
      <c r="L102" s="7">
        <f t="shared" si="4"/>
        <v>1200</v>
      </c>
      <c r="M102" s="14">
        <f t="shared" si="5"/>
        <v>1250</v>
      </c>
    </row>
    <row r="103" spans="1:13" x14ac:dyDescent="0.35">
      <c r="A103" s="3" t="s">
        <v>12</v>
      </c>
      <c r="B103" s="3" t="s">
        <v>13</v>
      </c>
      <c r="C103" s="3" t="s">
        <v>234</v>
      </c>
      <c r="D103" s="4" t="s">
        <v>237</v>
      </c>
      <c r="E103" s="4" t="s">
        <v>238</v>
      </c>
      <c r="F103" s="5">
        <v>0.5</v>
      </c>
      <c r="G103" s="10">
        <v>10</v>
      </c>
      <c r="H103" s="7">
        <v>75</v>
      </c>
      <c r="I103" s="7">
        <v>80</v>
      </c>
      <c r="J103" s="7">
        <v>100</v>
      </c>
      <c r="K103" s="7">
        <f t="shared" si="3"/>
        <v>750</v>
      </c>
      <c r="L103" s="7">
        <f t="shared" si="4"/>
        <v>800</v>
      </c>
      <c r="M103" s="14">
        <f t="shared" si="5"/>
        <v>1000</v>
      </c>
    </row>
    <row r="104" spans="1:13" x14ac:dyDescent="0.35">
      <c r="A104" s="3" t="s">
        <v>12</v>
      </c>
      <c r="B104" s="3" t="s">
        <v>13</v>
      </c>
      <c r="C104" s="3" t="s">
        <v>246</v>
      </c>
      <c r="D104" s="4" t="s">
        <v>247</v>
      </c>
      <c r="E104" s="4" t="s">
        <v>248</v>
      </c>
      <c r="F104" s="5">
        <v>0</v>
      </c>
      <c r="G104" s="10">
        <v>10</v>
      </c>
      <c r="H104" s="7">
        <v>48</v>
      </c>
      <c r="I104" s="7">
        <v>60</v>
      </c>
      <c r="J104" s="7">
        <v>60</v>
      </c>
      <c r="K104" s="7">
        <f t="shared" si="3"/>
        <v>480</v>
      </c>
      <c r="L104" s="7">
        <f t="shared" si="4"/>
        <v>600</v>
      </c>
      <c r="M104" s="14">
        <f t="shared" si="5"/>
        <v>600</v>
      </c>
    </row>
    <row r="105" spans="1:13" x14ac:dyDescent="0.35">
      <c r="A105" s="3" t="s">
        <v>12</v>
      </c>
      <c r="B105" s="3" t="s">
        <v>13</v>
      </c>
      <c r="C105" s="3" t="s">
        <v>13</v>
      </c>
      <c r="D105" s="4" t="s">
        <v>261</v>
      </c>
      <c r="E105" s="4" t="s">
        <v>262</v>
      </c>
      <c r="F105" s="5">
        <v>0</v>
      </c>
      <c r="G105" s="10">
        <v>10</v>
      </c>
      <c r="H105" s="7">
        <v>29.5</v>
      </c>
      <c r="I105" s="7">
        <v>40</v>
      </c>
      <c r="J105" s="7">
        <v>40</v>
      </c>
      <c r="K105" s="7">
        <f t="shared" si="3"/>
        <v>295</v>
      </c>
      <c r="L105" s="7">
        <f t="shared" si="4"/>
        <v>400</v>
      </c>
      <c r="M105" s="14">
        <f t="shared" si="5"/>
        <v>400</v>
      </c>
    </row>
    <row r="106" spans="1:13" x14ac:dyDescent="0.35">
      <c r="A106" s="3" t="s">
        <v>12</v>
      </c>
      <c r="B106" s="3" t="s">
        <v>13</v>
      </c>
      <c r="C106" s="3" t="s">
        <v>14</v>
      </c>
      <c r="D106" s="4" t="s">
        <v>31</v>
      </c>
      <c r="E106" s="4" t="s">
        <v>32</v>
      </c>
      <c r="F106" s="5">
        <v>1</v>
      </c>
      <c r="G106" s="10">
        <v>11</v>
      </c>
      <c r="H106" s="7">
        <v>192.5</v>
      </c>
      <c r="I106" s="7">
        <v>240</v>
      </c>
      <c r="J106" s="7">
        <v>320</v>
      </c>
      <c r="K106" s="7">
        <f t="shared" si="3"/>
        <v>2117.5</v>
      </c>
      <c r="L106" s="7">
        <f t="shared" si="4"/>
        <v>2640</v>
      </c>
      <c r="M106" s="14">
        <f t="shared" si="5"/>
        <v>3520</v>
      </c>
    </row>
    <row r="107" spans="1:13" x14ac:dyDescent="0.35">
      <c r="A107" s="3" t="s">
        <v>12</v>
      </c>
      <c r="B107" s="3" t="s">
        <v>13</v>
      </c>
      <c r="C107" s="3" t="s">
        <v>14</v>
      </c>
      <c r="D107" s="4" t="s">
        <v>44</v>
      </c>
      <c r="E107" s="4" t="s">
        <v>45</v>
      </c>
      <c r="F107" s="5">
        <v>1</v>
      </c>
      <c r="G107" s="10">
        <v>11</v>
      </c>
      <c r="H107" s="7">
        <v>185</v>
      </c>
      <c r="I107" s="7">
        <v>240</v>
      </c>
      <c r="J107" s="7">
        <v>240</v>
      </c>
      <c r="K107" s="7">
        <f t="shared" si="3"/>
        <v>2035</v>
      </c>
      <c r="L107" s="7">
        <f t="shared" si="4"/>
        <v>2640</v>
      </c>
      <c r="M107" s="14">
        <f t="shared" si="5"/>
        <v>2640</v>
      </c>
    </row>
    <row r="108" spans="1:13" x14ac:dyDescent="0.35">
      <c r="A108" s="3" t="s">
        <v>12</v>
      </c>
      <c r="B108" s="3" t="s">
        <v>13</v>
      </c>
      <c r="C108" s="3" t="s">
        <v>138</v>
      </c>
      <c r="D108" s="4" t="s">
        <v>141</v>
      </c>
      <c r="E108" s="4" t="s">
        <v>142</v>
      </c>
      <c r="F108" s="5">
        <v>0</v>
      </c>
      <c r="G108" s="10">
        <v>11</v>
      </c>
      <c r="H108" s="7">
        <v>7</v>
      </c>
      <c r="I108" s="7">
        <v>10</v>
      </c>
      <c r="J108" s="7">
        <v>0</v>
      </c>
      <c r="K108" s="7">
        <f t="shared" si="3"/>
        <v>77</v>
      </c>
      <c r="L108" s="7">
        <f t="shared" si="4"/>
        <v>110</v>
      </c>
      <c r="M108" s="14">
        <f t="shared" si="5"/>
        <v>0</v>
      </c>
    </row>
    <row r="109" spans="1:13" x14ac:dyDescent="0.35">
      <c r="A109" s="3" t="s">
        <v>12</v>
      </c>
      <c r="B109" s="3" t="s">
        <v>13</v>
      </c>
      <c r="C109" s="3" t="s">
        <v>143</v>
      </c>
      <c r="D109" s="4" t="s">
        <v>158</v>
      </c>
      <c r="E109" s="4" t="s">
        <v>159</v>
      </c>
      <c r="F109" s="5">
        <v>0.5</v>
      </c>
      <c r="G109" s="10">
        <v>11</v>
      </c>
      <c r="H109" s="7">
        <v>82</v>
      </c>
      <c r="I109" s="7">
        <v>80</v>
      </c>
      <c r="J109" s="7">
        <v>80</v>
      </c>
      <c r="K109" s="7">
        <f t="shared" si="3"/>
        <v>902</v>
      </c>
      <c r="L109" s="7">
        <f t="shared" si="4"/>
        <v>880</v>
      </c>
      <c r="M109" s="14">
        <f t="shared" si="5"/>
        <v>880</v>
      </c>
    </row>
    <row r="110" spans="1:13" x14ac:dyDescent="0.35">
      <c r="A110" s="3" t="s">
        <v>12</v>
      </c>
      <c r="B110" s="3" t="s">
        <v>13</v>
      </c>
      <c r="C110" s="3" t="s">
        <v>143</v>
      </c>
      <c r="D110" s="4" t="s">
        <v>180</v>
      </c>
      <c r="E110" s="4" t="s">
        <v>181</v>
      </c>
      <c r="F110" s="5">
        <v>0</v>
      </c>
      <c r="G110" s="10">
        <v>11</v>
      </c>
      <c r="H110" s="7">
        <v>130</v>
      </c>
      <c r="I110" s="7">
        <v>150</v>
      </c>
      <c r="J110" s="7">
        <v>150</v>
      </c>
      <c r="K110" s="7">
        <f t="shared" si="3"/>
        <v>1430</v>
      </c>
      <c r="L110" s="7">
        <f t="shared" si="4"/>
        <v>1650</v>
      </c>
      <c r="M110" s="14">
        <f t="shared" si="5"/>
        <v>1650</v>
      </c>
    </row>
    <row r="111" spans="1:13" x14ac:dyDescent="0.35">
      <c r="A111" s="3" t="s">
        <v>12</v>
      </c>
      <c r="B111" s="3" t="s">
        <v>13</v>
      </c>
      <c r="C111" s="3" t="s">
        <v>143</v>
      </c>
      <c r="D111" s="4" t="s">
        <v>170</v>
      </c>
      <c r="E111" s="4" t="s">
        <v>171</v>
      </c>
      <c r="F111" s="5">
        <v>0.05</v>
      </c>
      <c r="G111" s="10">
        <v>12</v>
      </c>
      <c r="H111" s="7">
        <v>25</v>
      </c>
      <c r="I111" s="7">
        <v>50</v>
      </c>
      <c r="J111" s="7">
        <v>50</v>
      </c>
      <c r="K111" s="7">
        <f t="shared" si="3"/>
        <v>300</v>
      </c>
      <c r="L111" s="7">
        <f t="shared" si="4"/>
        <v>600</v>
      </c>
      <c r="M111" s="14">
        <f t="shared" si="5"/>
        <v>600</v>
      </c>
    </row>
    <row r="112" spans="1:13" x14ac:dyDescent="0.35">
      <c r="A112" s="3" t="s">
        <v>12</v>
      </c>
      <c r="B112" s="3" t="s">
        <v>13</v>
      </c>
      <c r="C112" s="3" t="s">
        <v>143</v>
      </c>
      <c r="D112" s="4" t="s">
        <v>188</v>
      </c>
      <c r="E112" s="4" t="s">
        <v>189</v>
      </c>
      <c r="F112" s="5">
        <v>0.2</v>
      </c>
      <c r="G112" s="10">
        <v>12</v>
      </c>
      <c r="H112" s="7">
        <v>180</v>
      </c>
      <c r="I112" s="7">
        <v>200</v>
      </c>
      <c r="J112" s="7">
        <v>200</v>
      </c>
      <c r="K112" s="7">
        <f t="shared" si="3"/>
        <v>2160</v>
      </c>
      <c r="L112" s="7">
        <f t="shared" si="4"/>
        <v>2400</v>
      </c>
      <c r="M112" s="14">
        <f t="shared" si="5"/>
        <v>2400</v>
      </c>
    </row>
    <row r="113" spans="1:13" x14ac:dyDescent="0.35">
      <c r="A113" s="3" t="s">
        <v>12</v>
      </c>
      <c r="B113" s="3" t="s">
        <v>13</v>
      </c>
      <c r="C113" s="3" t="s">
        <v>143</v>
      </c>
      <c r="D113" s="4" t="s">
        <v>202</v>
      </c>
      <c r="E113" s="4" t="s">
        <v>203</v>
      </c>
      <c r="F113" s="5">
        <v>0.05</v>
      </c>
      <c r="G113" s="10">
        <v>12</v>
      </c>
      <c r="H113" s="7">
        <v>40</v>
      </c>
      <c r="I113" s="7">
        <v>50</v>
      </c>
      <c r="J113" s="7">
        <v>50</v>
      </c>
      <c r="K113" s="7">
        <f t="shared" si="3"/>
        <v>480</v>
      </c>
      <c r="L113" s="7">
        <f t="shared" si="4"/>
        <v>600</v>
      </c>
      <c r="M113" s="14">
        <f t="shared" si="5"/>
        <v>600</v>
      </c>
    </row>
    <row r="114" spans="1:13" x14ac:dyDescent="0.35">
      <c r="A114" s="3" t="s">
        <v>12</v>
      </c>
      <c r="B114" s="3" t="s">
        <v>13</v>
      </c>
      <c r="C114" s="3" t="s">
        <v>251</v>
      </c>
      <c r="D114" s="4" t="s">
        <v>252</v>
      </c>
      <c r="E114" s="4" t="s">
        <v>253</v>
      </c>
      <c r="F114" s="5">
        <v>0.15</v>
      </c>
      <c r="G114" s="10">
        <v>12</v>
      </c>
      <c r="H114" s="7">
        <v>140</v>
      </c>
      <c r="I114" s="7">
        <v>150</v>
      </c>
      <c r="J114" s="7">
        <v>150</v>
      </c>
      <c r="K114" s="7">
        <f t="shared" si="3"/>
        <v>1680</v>
      </c>
      <c r="L114" s="7">
        <f t="shared" si="4"/>
        <v>1800</v>
      </c>
      <c r="M114" s="14">
        <f t="shared" si="5"/>
        <v>1800</v>
      </c>
    </row>
    <row r="115" spans="1:13" x14ac:dyDescent="0.35">
      <c r="A115" s="3" t="s">
        <v>12</v>
      </c>
      <c r="B115" s="3" t="s">
        <v>13</v>
      </c>
      <c r="C115" s="3" t="s">
        <v>13</v>
      </c>
      <c r="D115" s="4" t="s">
        <v>287</v>
      </c>
      <c r="E115" s="4" t="s">
        <v>288</v>
      </c>
      <c r="F115" s="5">
        <v>0.6</v>
      </c>
      <c r="G115" s="10">
        <v>12</v>
      </c>
      <c r="H115" s="7">
        <v>100</v>
      </c>
      <c r="I115" s="7">
        <v>130</v>
      </c>
      <c r="J115" s="7">
        <v>130</v>
      </c>
      <c r="K115" s="7">
        <f t="shared" si="3"/>
        <v>1200</v>
      </c>
      <c r="L115" s="7">
        <f t="shared" si="4"/>
        <v>1560</v>
      </c>
      <c r="M115" s="14">
        <f t="shared" si="5"/>
        <v>1560</v>
      </c>
    </row>
    <row r="116" spans="1:13" x14ac:dyDescent="0.35">
      <c r="A116" s="3" t="s">
        <v>12</v>
      </c>
      <c r="B116" s="3" t="s">
        <v>13</v>
      </c>
      <c r="C116" s="3" t="s">
        <v>74</v>
      </c>
      <c r="D116" s="4" t="s">
        <v>75</v>
      </c>
      <c r="E116" s="4" t="s">
        <v>76</v>
      </c>
      <c r="F116" s="5">
        <v>0</v>
      </c>
      <c r="G116" s="10">
        <v>14</v>
      </c>
      <c r="H116" s="7">
        <v>75</v>
      </c>
      <c r="I116" s="7">
        <v>100</v>
      </c>
      <c r="J116" s="7">
        <v>110</v>
      </c>
      <c r="K116" s="7">
        <f t="shared" si="3"/>
        <v>1050</v>
      </c>
      <c r="L116" s="7">
        <f t="shared" si="4"/>
        <v>1400</v>
      </c>
      <c r="M116" s="14">
        <f t="shared" si="5"/>
        <v>1540</v>
      </c>
    </row>
    <row r="117" spans="1:13" x14ac:dyDescent="0.35">
      <c r="A117" s="3" t="s">
        <v>12</v>
      </c>
      <c r="B117" s="3" t="s">
        <v>13</v>
      </c>
      <c r="C117" s="3" t="s">
        <v>143</v>
      </c>
      <c r="D117" s="4" t="s">
        <v>212</v>
      </c>
      <c r="E117" s="4" t="s">
        <v>213</v>
      </c>
      <c r="F117" s="5">
        <v>0.02</v>
      </c>
      <c r="G117" s="10">
        <v>15</v>
      </c>
      <c r="H117" s="7">
        <v>60</v>
      </c>
      <c r="I117" s="7">
        <v>90</v>
      </c>
      <c r="J117" s="7">
        <v>90</v>
      </c>
      <c r="K117" s="7">
        <f t="shared" si="3"/>
        <v>900</v>
      </c>
      <c r="L117" s="7">
        <f t="shared" si="4"/>
        <v>1350</v>
      </c>
      <c r="M117" s="14">
        <f t="shared" si="5"/>
        <v>1350</v>
      </c>
    </row>
    <row r="118" spans="1:13" x14ac:dyDescent="0.35">
      <c r="A118" s="3" t="s">
        <v>12</v>
      </c>
      <c r="B118" s="3" t="s">
        <v>13</v>
      </c>
      <c r="C118" s="3" t="s">
        <v>143</v>
      </c>
      <c r="D118" s="4" t="s">
        <v>214</v>
      </c>
      <c r="E118" s="4" t="s">
        <v>215</v>
      </c>
      <c r="F118" s="5">
        <v>1.2E-2</v>
      </c>
      <c r="G118" s="10">
        <v>15</v>
      </c>
      <c r="H118" s="7">
        <v>65</v>
      </c>
      <c r="I118" s="7">
        <v>80</v>
      </c>
      <c r="J118" s="7">
        <v>100</v>
      </c>
      <c r="K118" s="7">
        <f t="shared" si="3"/>
        <v>975</v>
      </c>
      <c r="L118" s="7">
        <f t="shared" si="4"/>
        <v>1200</v>
      </c>
      <c r="M118" s="14">
        <f t="shared" si="5"/>
        <v>1500</v>
      </c>
    </row>
    <row r="119" spans="1:13" x14ac:dyDescent="0.35">
      <c r="A119" s="3" t="s">
        <v>12</v>
      </c>
      <c r="B119" s="3" t="s">
        <v>13</v>
      </c>
      <c r="C119" s="3" t="s">
        <v>143</v>
      </c>
      <c r="D119" s="4" t="s">
        <v>154</v>
      </c>
      <c r="E119" s="4" t="s">
        <v>155</v>
      </c>
      <c r="F119" s="5">
        <v>0.5</v>
      </c>
      <c r="G119" s="10">
        <v>16</v>
      </c>
      <c r="H119" s="7">
        <v>95</v>
      </c>
      <c r="I119" s="7">
        <v>100</v>
      </c>
      <c r="J119" s="7">
        <v>100</v>
      </c>
      <c r="K119" s="7">
        <f t="shared" si="3"/>
        <v>1520</v>
      </c>
      <c r="L119" s="7">
        <f t="shared" si="4"/>
        <v>1600</v>
      </c>
      <c r="M119" s="14">
        <f t="shared" si="5"/>
        <v>1600</v>
      </c>
    </row>
    <row r="120" spans="1:13" x14ac:dyDescent="0.35">
      <c r="A120" s="3" t="s">
        <v>12</v>
      </c>
      <c r="B120" s="3" t="s">
        <v>13</v>
      </c>
      <c r="C120" s="3" t="s">
        <v>143</v>
      </c>
      <c r="D120" s="4" t="s">
        <v>174</v>
      </c>
      <c r="E120" s="4" t="s">
        <v>175</v>
      </c>
      <c r="F120" s="5">
        <v>0.05</v>
      </c>
      <c r="G120" s="10">
        <v>18</v>
      </c>
      <c r="H120" s="7">
        <v>40</v>
      </c>
      <c r="I120" s="7">
        <v>50</v>
      </c>
      <c r="J120" s="7">
        <v>50</v>
      </c>
      <c r="K120" s="7">
        <f t="shared" si="3"/>
        <v>720</v>
      </c>
      <c r="L120" s="7">
        <f t="shared" si="4"/>
        <v>900</v>
      </c>
      <c r="M120" s="14">
        <f t="shared" si="5"/>
        <v>900</v>
      </c>
    </row>
    <row r="121" spans="1:13" x14ac:dyDescent="0.35">
      <c r="A121" s="3" t="s">
        <v>12</v>
      </c>
      <c r="B121" s="3" t="s">
        <v>13</v>
      </c>
      <c r="C121" s="3" t="s">
        <v>143</v>
      </c>
      <c r="D121" s="4" t="s">
        <v>190</v>
      </c>
      <c r="E121" s="4" t="s">
        <v>191</v>
      </c>
      <c r="F121" s="5">
        <v>0.25</v>
      </c>
      <c r="G121" s="10">
        <v>18</v>
      </c>
      <c r="H121" s="7">
        <v>137.5</v>
      </c>
      <c r="I121" s="7">
        <v>200</v>
      </c>
      <c r="J121" s="7">
        <v>200</v>
      </c>
      <c r="K121" s="7">
        <f t="shared" si="3"/>
        <v>2475</v>
      </c>
      <c r="L121" s="7">
        <f t="shared" si="4"/>
        <v>3600</v>
      </c>
      <c r="M121" s="14">
        <f t="shared" si="5"/>
        <v>3600</v>
      </c>
    </row>
    <row r="122" spans="1:13" x14ac:dyDescent="0.35">
      <c r="A122" s="3" t="s">
        <v>12</v>
      </c>
      <c r="B122" s="3" t="s">
        <v>13</v>
      </c>
      <c r="C122" s="3" t="s">
        <v>14</v>
      </c>
      <c r="D122" s="4" t="s">
        <v>27</v>
      </c>
      <c r="E122" s="4" t="s">
        <v>28</v>
      </c>
      <c r="F122" s="5">
        <v>0.05</v>
      </c>
      <c r="G122" s="10">
        <v>19</v>
      </c>
      <c r="H122" s="7">
        <v>112</v>
      </c>
      <c r="I122" s="7">
        <v>150</v>
      </c>
      <c r="J122" s="7">
        <v>160</v>
      </c>
      <c r="K122" s="7">
        <f t="shared" si="3"/>
        <v>2128</v>
      </c>
      <c r="L122" s="7">
        <f t="shared" si="4"/>
        <v>2850</v>
      </c>
      <c r="M122" s="14">
        <f t="shared" si="5"/>
        <v>3040</v>
      </c>
    </row>
    <row r="123" spans="1:13" x14ac:dyDescent="0.35">
      <c r="A123" s="3" t="s">
        <v>12</v>
      </c>
      <c r="B123" s="3" t="s">
        <v>13</v>
      </c>
      <c r="C123" s="3" t="s">
        <v>131</v>
      </c>
      <c r="D123" s="4" t="s">
        <v>62</v>
      </c>
      <c r="E123" s="4" t="s">
        <v>63</v>
      </c>
      <c r="F123" s="5">
        <v>10</v>
      </c>
      <c r="G123" s="10">
        <v>20</v>
      </c>
      <c r="H123" s="7">
        <v>1000</v>
      </c>
      <c r="I123" s="7">
        <v>1020</v>
      </c>
      <c r="J123" s="7">
        <v>1100</v>
      </c>
      <c r="K123" s="7">
        <f t="shared" si="3"/>
        <v>20000</v>
      </c>
      <c r="L123" s="7">
        <f t="shared" si="4"/>
        <v>20400</v>
      </c>
      <c r="M123" s="14">
        <f t="shared" si="5"/>
        <v>22000</v>
      </c>
    </row>
    <row r="124" spans="1:13" x14ac:dyDescent="0.35">
      <c r="A124" s="3" t="s">
        <v>12</v>
      </c>
      <c r="B124" s="3" t="s">
        <v>13</v>
      </c>
      <c r="C124" s="3" t="s">
        <v>143</v>
      </c>
      <c r="D124" s="4" t="s">
        <v>208</v>
      </c>
      <c r="E124" s="4" t="s">
        <v>209</v>
      </c>
      <c r="F124" s="5">
        <v>0.1</v>
      </c>
      <c r="G124" s="10">
        <v>20</v>
      </c>
      <c r="H124" s="7">
        <v>40</v>
      </c>
      <c r="I124" s="7">
        <v>50</v>
      </c>
      <c r="J124" s="7">
        <v>50</v>
      </c>
      <c r="K124" s="7">
        <f t="shared" si="3"/>
        <v>800</v>
      </c>
      <c r="L124" s="7">
        <f t="shared" si="4"/>
        <v>1000</v>
      </c>
      <c r="M124" s="14">
        <f t="shared" si="5"/>
        <v>1000</v>
      </c>
    </row>
    <row r="125" spans="1:13" x14ac:dyDescent="0.35">
      <c r="A125" s="3" t="s">
        <v>12</v>
      </c>
      <c r="B125" s="3" t="s">
        <v>13</v>
      </c>
      <c r="C125" s="3" t="s">
        <v>143</v>
      </c>
      <c r="D125" s="4" t="s">
        <v>218</v>
      </c>
      <c r="E125" s="4" t="s">
        <v>219</v>
      </c>
      <c r="F125" s="5">
        <v>0.05</v>
      </c>
      <c r="G125" s="10">
        <v>20</v>
      </c>
      <c r="H125" s="7">
        <v>120</v>
      </c>
      <c r="I125" s="7">
        <v>150</v>
      </c>
      <c r="J125" s="7">
        <v>150</v>
      </c>
      <c r="K125" s="7">
        <f t="shared" si="3"/>
        <v>2400</v>
      </c>
      <c r="L125" s="7">
        <f t="shared" si="4"/>
        <v>3000</v>
      </c>
      <c r="M125" s="14">
        <f t="shared" si="5"/>
        <v>3000</v>
      </c>
    </row>
    <row r="126" spans="1:13" x14ac:dyDescent="0.35">
      <c r="A126" s="3" t="s">
        <v>12</v>
      </c>
      <c r="B126" s="3" t="s">
        <v>13</v>
      </c>
      <c r="C126" s="3" t="s">
        <v>143</v>
      </c>
      <c r="D126" s="4" t="s">
        <v>222</v>
      </c>
      <c r="E126" s="4" t="s">
        <v>223</v>
      </c>
      <c r="F126" s="5">
        <v>0.05</v>
      </c>
      <c r="G126" s="10">
        <v>20</v>
      </c>
      <c r="H126" s="7">
        <v>35</v>
      </c>
      <c r="I126" s="7">
        <v>50</v>
      </c>
      <c r="J126" s="7">
        <v>50</v>
      </c>
      <c r="K126" s="7">
        <f t="shared" si="3"/>
        <v>700</v>
      </c>
      <c r="L126" s="7">
        <f t="shared" si="4"/>
        <v>1000</v>
      </c>
      <c r="M126" s="14">
        <f t="shared" si="5"/>
        <v>1000</v>
      </c>
    </row>
    <row r="127" spans="1:13" x14ac:dyDescent="0.35">
      <c r="A127" s="3" t="s">
        <v>12</v>
      </c>
      <c r="B127" s="3" t="s">
        <v>13</v>
      </c>
      <c r="C127" s="3" t="s">
        <v>143</v>
      </c>
      <c r="D127" s="4" t="s">
        <v>224</v>
      </c>
      <c r="E127" s="4" t="s">
        <v>225</v>
      </c>
      <c r="F127" s="5">
        <v>0.05</v>
      </c>
      <c r="G127" s="10">
        <v>20</v>
      </c>
      <c r="H127" s="7">
        <v>45</v>
      </c>
      <c r="I127" s="7">
        <v>50</v>
      </c>
      <c r="J127" s="7">
        <v>50</v>
      </c>
      <c r="K127" s="7">
        <f t="shared" si="3"/>
        <v>900</v>
      </c>
      <c r="L127" s="7">
        <f t="shared" si="4"/>
        <v>1000</v>
      </c>
      <c r="M127" s="14">
        <f t="shared" si="5"/>
        <v>1000</v>
      </c>
    </row>
    <row r="128" spans="1:13" x14ac:dyDescent="0.35">
      <c r="A128" s="3" t="s">
        <v>12</v>
      </c>
      <c r="B128" s="3" t="s">
        <v>13</v>
      </c>
      <c r="C128" s="3" t="s">
        <v>143</v>
      </c>
      <c r="D128" s="4" t="s">
        <v>230</v>
      </c>
      <c r="E128" s="4" t="s">
        <v>231</v>
      </c>
      <c r="F128" s="5">
        <v>0.05</v>
      </c>
      <c r="G128" s="10">
        <v>20</v>
      </c>
      <c r="H128" s="7">
        <v>15</v>
      </c>
      <c r="I128" s="7">
        <v>20</v>
      </c>
      <c r="J128" s="7">
        <v>20</v>
      </c>
      <c r="K128" s="7">
        <f t="shared" si="3"/>
        <v>300</v>
      </c>
      <c r="L128" s="7">
        <f t="shared" si="4"/>
        <v>400</v>
      </c>
      <c r="M128" s="14">
        <f t="shared" si="5"/>
        <v>400</v>
      </c>
    </row>
    <row r="129" spans="1:13" x14ac:dyDescent="0.35">
      <c r="A129" s="3" t="s">
        <v>12</v>
      </c>
      <c r="B129" s="3" t="s">
        <v>13</v>
      </c>
      <c r="C129" s="3" t="s">
        <v>234</v>
      </c>
      <c r="D129" s="4" t="s">
        <v>241</v>
      </c>
      <c r="E129" s="4" t="s">
        <v>242</v>
      </c>
      <c r="F129" s="5">
        <v>2</v>
      </c>
      <c r="G129" s="10">
        <v>20</v>
      </c>
      <c r="H129" s="7">
        <v>284</v>
      </c>
      <c r="I129" s="7">
        <v>300</v>
      </c>
      <c r="J129" s="7">
        <v>320</v>
      </c>
      <c r="K129" s="7">
        <f t="shared" si="3"/>
        <v>5680</v>
      </c>
      <c r="L129" s="7">
        <f t="shared" si="4"/>
        <v>6000</v>
      </c>
      <c r="M129" s="14">
        <f t="shared" si="5"/>
        <v>6400</v>
      </c>
    </row>
    <row r="130" spans="1:13" x14ac:dyDescent="0.35">
      <c r="A130" s="3" t="s">
        <v>12</v>
      </c>
      <c r="B130" s="3" t="s">
        <v>13</v>
      </c>
      <c r="C130" s="3" t="s">
        <v>13</v>
      </c>
      <c r="D130" s="4" t="s">
        <v>256</v>
      </c>
      <c r="E130" s="4" t="s">
        <v>257</v>
      </c>
      <c r="F130" s="5">
        <v>0</v>
      </c>
      <c r="G130" s="10">
        <v>20</v>
      </c>
      <c r="H130" s="7">
        <v>127.5</v>
      </c>
      <c r="I130" s="7">
        <v>140</v>
      </c>
      <c r="J130" s="7">
        <v>140</v>
      </c>
      <c r="K130" s="7">
        <f t="shared" si="3"/>
        <v>2550</v>
      </c>
      <c r="L130" s="7">
        <f t="shared" si="4"/>
        <v>2800</v>
      </c>
      <c r="M130" s="14">
        <f t="shared" si="5"/>
        <v>2800</v>
      </c>
    </row>
    <row r="131" spans="1:13" x14ac:dyDescent="0.35">
      <c r="A131" s="3" t="s">
        <v>12</v>
      </c>
      <c r="B131" s="3" t="s">
        <v>13</v>
      </c>
      <c r="C131" s="3" t="s">
        <v>13</v>
      </c>
      <c r="D131" s="4" t="s">
        <v>267</v>
      </c>
      <c r="E131" s="4" t="s">
        <v>268</v>
      </c>
      <c r="F131" s="5">
        <v>0</v>
      </c>
      <c r="G131" s="10">
        <v>20</v>
      </c>
      <c r="H131" s="7">
        <v>135</v>
      </c>
      <c r="I131" s="7">
        <v>160</v>
      </c>
      <c r="J131" s="7">
        <v>160</v>
      </c>
      <c r="K131" s="7">
        <f t="shared" si="3"/>
        <v>2700</v>
      </c>
      <c r="L131" s="7">
        <f t="shared" si="4"/>
        <v>3200</v>
      </c>
      <c r="M131" s="14">
        <f t="shared" si="5"/>
        <v>3200</v>
      </c>
    </row>
    <row r="132" spans="1:13" x14ac:dyDescent="0.35">
      <c r="A132" s="3" t="s">
        <v>12</v>
      </c>
      <c r="B132" s="3" t="s">
        <v>13</v>
      </c>
      <c r="C132" s="3" t="s">
        <v>14</v>
      </c>
      <c r="D132" s="4" t="s">
        <v>29</v>
      </c>
      <c r="E132" s="4" t="s">
        <v>30</v>
      </c>
      <c r="F132" s="5">
        <v>1</v>
      </c>
      <c r="G132" s="10">
        <v>22</v>
      </c>
      <c r="H132" s="7">
        <v>430</v>
      </c>
      <c r="I132" s="7">
        <v>480</v>
      </c>
      <c r="J132" s="7">
        <v>480</v>
      </c>
      <c r="K132" s="7">
        <f t="shared" si="3"/>
        <v>9460</v>
      </c>
      <c r="L132" s="7">
        <f t="shared" si="4"/>
        <v>10560</v>
      </c>
      <c r="M132" s="14">
        <f t="shared" si="5"/>
        <v>10560</v>
      </c>
    </row>
    <row r="133" spans="1:13" x14ac:dyDescent="0.35">
      <c r="A133" s="3" t="s">
        <v>12</v>
      </c>
      <c r="B133" s="3" t="s">
        <v>13</v>
      </c>
      <c r="C133" s="3" t="s">
        <v>143</v>
      </c>
      <c r="D133" s="4" t="s">
        <v>160</v>
      </c>
      <c r="E133" s="4" t="s">
        <v>161</v>
      </c>
      <c r="F133" s="5">
        <v>0.05</v>
      </c>
      <c r="G133" s="10">
        <v>22</v>
      </c>
      <c r="H133" s="7">
        <v>90</v>
      </c>
      <c r="I133" s="7">
        <v>100</v>
      </c>
      <c r="J133" s="7">
        <v>100</v>
      </c>
      <c r="K133" s="7">
        <f t="shared" si="3"/>
        <v>1980</v>
      </c>
      <c r="L133" s="7">
        <f t="shared" si="4"/>
        <v>2200</v>
      </c>
      <c r="M133" s="14">
        <f t="shared" si="5"/>
        <v>2200</v>
      </c>
    </row>
    <row r="134" spans="1:13" x14ac:dyDescent="0.35">
      <c r="A134" s="3" t="s">
        <v>12</v>
      </c>
      <c r="B134" s="3" t="s">
        <v>13</v>
      </c>
      <c r="C134" s="3" t="s">
        <v>143</v>
      </c>
      <c r="D134" s="4" t="s">
        <v>152</v>
      </c>
      <c r="E134" s="4" t="s">
        <v>153</v>
      </c>
      <c r="F134" s="5">
        <v>0.05</v>
      </c>
      <c r="G134" s="10">
        <v>23</v>
      </c>
      <c r="H134" s="7">
        <v>15</v>
      </c>
      <c r="I134" s="7">
        <v>20</v>
      </c>
      <c r="J134" s="7">
        <v>14</v>
      </c>
      <c r="K134" s="7">
        <f t="shared" si="3"/>
        <v>345</v>
      </c>
      <c r="L134" s="7">
        <f t="shared" si="4"/>
        <v>460</v>
      </c>
      <c r="M134" s="14">
        <f t="shared" si="5"/>
        <v>322</v>
      </c>
    </row>
    <row r="135" spans="1:13" x14ac:dyDescent="0.35">
      <c r="A135" s="3" t="s">
        <v>12</v>
      </c>
      <c r="B135" s="3" t="s">
        <v>13</v>
      </c>
      <c r="C135" s="3" t="s">
        <v>143</v>
      </c>
      <c r="D135" s="4" t="s">
        <v>172</v>
      </c>
      <c r="E135" s="4" t="s">
        <v>173</v>
      </c>
      <c r="F135" s="5">
        <v>0.02</v>
      </c>
      <c r="G135" s="10">
        <v>24</v>
      </c>
      <c r="H135" s="7">
        <v>35</v>
      </c>
      <c r="I135" s="7">
        <v>40</v>
      </c>
      <c r="J135" s="7">
        <v>40</v>
      </c>
      <c r="K135" s="7">
        <f t="shared" si="3"/>
        <v>840</v>
      </c>
      <c r="L135" s="7">
        <f t="shared" si="4"/>
        <v>960</v>
      </c>
      <c r="M135" s="14">
        <f t="shared" si="5"/>
        <v>960</v>
      </c>
    </row>
    <row r="136" spans="1:13" x14ac:dyDescent="0.35">
      <c r="A136" s="3" t="s">
        <v>12</v>
      </c>
      <c r="B136" s="3" t="s">
        <v>13</v>
      </c>
      <c r="C136" s="3" t="s">
        <v>143</v>
      </c>
      <c r="D136" s="4" t="s">
        <v>226</v>
      </c>
      <c r="E136" s="4" t="s">
        <v>227</v>
      </c>
      <c r="F136" s="5">
        <v>0.1</v>
      </c>
      <c r="G136" s="10">
        <v>24</v>
      </c>
      <c r="H136" s="7">
        <v>55</v>
      </c>
      <c r="I136" s="7">
        <v>100</v>
      </c>
      <c r="J136" s="7">
        <v>100</v>
      </c>
      <c r="K136" s="7">
        <f t="shared" si="3"/>
        <v>1320</v>
      </c>
      <c r="L136" s="7">
        <f t="shared" si="4"/>
        <v>2400</v>
      </c>
      <c r="M136" s="14">
        <f t="shared" si="5"/>
        <v>2400</v>
      </c>
    </row>
    <row r="137" spans="1:13" x14ac:dyDescent="0.35">
      <c r="A137" s="3" t="s">
        <v>12</v>
      </c>
      <c r="B137" s="3" t="s">
        <v>13</v>
      </c>
      <c r="C137" s="3" t="s">
        <v>143</v>
      </c>
      <c r="D137" s="4" t="s">
        <v>228</v>
      </c>
      <c r="E137" s="4" t="s">
        <v>229</v>
      </c>
      <c r="F137" s="5">
        <v>0.1</v>
      </c>
      <c r="G137" s="10">
        <v>24</v>
      </c>
      <c r="H137" s="7">
        <v>55</v>
      </c>
      <c r="I137" s="7">
        <v>100</v>
      </c>
      <c r="J137" s="7">
        <v>100</v>
      </c>
      <c r="K137" s="7">
        <f t="shared" si="3"/>
        <v>1320</v>
      </c>
      <c r="L137" s="7">
        <f t="shared" si="4"/>
        <v>2400</v>
      </c>
      <c r="M137" s="14">
        <f t="shared" si="5"/>
        <v>2400</v>
      </c>
    </row>
    <row r="138" spans="1:13" ht="15" customHeight="1" x14ac:dyDescent="0.35">
      <c r="A138" s="3" t="s">
        <v>12</v>
      </c>
      <c r="B138" s="3" t="s">
        <v>13</v>
      </c>
      <c r="C138" s="3" t="s">
        <v>14</v>
      </c>
      <c r="D138" s="4" t="s">
        <v>17</v>
      </c>
      <c r="E138" s="4" t="s">
        <v>18</v>
      </c>
      <c r="F138" s="5">
        <v>0.1</v>
      </c>
      <c r="G138" s="10">
        <v>28</v>
      </c>
      <c r="H138" s="7">
        <v>31</v>
      </c>
      <c r="I138" s="7">
        <v>50</v>
      </c>
      <c r="J138" s="7">
        <v>50</v>
      </c>
      <c r="K138" s="7">
        <f t="shared" si="3"/>
        <v>868</v>
      </c>
      <c r="L138" s="7">
        <f t="shared" si="4"/>
        <v>1400</v>
      </c>
      <c r="M138" s="14">
        <f t="shared" si="5"/>
        <v>1400</v>
      </c>
    </row>
    <row r="139" spans="1:13" x14ac:dyDescent="0.35">
      <c r="A139" s="3" t="s">
        <v>12</v>
      </c>
      <c r="B139" s="3" t="s">
        <v>13</v>
      </c>
      <c r="C139" s="3" t="s">
        <v>108</v>
      </c>
      <c r="D139" s="4" t="s">
        <v>109</v>
      </c>
      <c r="E139" s="4" t="s">
        <v>110</v>
      </c>
      <c r="F139" s="5">
        <v>2</v>
      </c>
      <c r="G139" s="10">
        <v>28</v>
      </c>
      <c r="H139" s="7">
        <v>350</v>
      </c>
      <c r="I139" s="7">
        <v>380</v>
      </c>
      <c r="J139" s="7">
        <v>400</v>
      </c>
      <c r="K139" s="7">
        <f t="shared" si="3"/>
        <v>9800</v>
      </c>
      <c r="L139" s="7">
        <f t="shared" si="4"/>
        <v>10640</v>
      </c>
      <c r="M139" s="14">
        <f t="shared" si="5"/>
        <v>11200</v>
      </c>
    </row>
    <row r="140" spans="1:13" x14ac:dyDescent="0.35">
      <c r="A140" s="3" t="s">
        <v>12</v>
      </c>
      <c r="B140" s="3" t="s">
        <v>13</v>
      </c>
      <c r="C140" s="3" t="s">
        <v>143</v>
      </c>
      <c r="D140" s="4" t="s">
        <v>184</v>
      </c>
      <c r="E140" s="4" t="s">
        <v>185</v>
      </c>
      <c r="F140" s="5">
        <v>0.1</v>
      </c>
      <c r="G140" s="10">
        <v>30</v>
      </c>
      <c r="H140" s="7">
        <v>80</v>
      </c>
      <c r="I140" s="7">
        <v>100</v>
      </c>
      <c r="J140" s="7">
        <v>100</v>
      </c>
      <c r="K140" s="7">
        <f t="shared" ref="K140:K176" si="6">H140*G140</f>
        <v>2400</v>
      </c>
      <c r="L140" s="7">
        <f t="shared" ref="L140:L176" si="7">I140*G140</f>
        <v>3000</v>
      </c>
      <c r="M140" s="14">
        <f t="shared" ref="M140:M203" si="8">J140*G140</f>
        <v>3000</v>
      </c>
    </row>
    <row r="141" spans="1:13" x14ac:dyDescent="0.35">
      <c r="A141" s="3" t="s">
        <v>12</v>
      </c>
      <c r="B141" s="3" t="s">
        <v>13</v>
      </c>
      <c r="C141" s="3" t="s">
        <v>143</v>
      </c>
      <c r="D141" s="4" t="s">
        <v>232</v>
      </c>
      <c r="E141" s="4" t="s">
        <v>233</v>
      </c>
      <c r="F141" s="5">
        <v>1</v>
      </c>
      <c r="G141" s="10">
        <v>30</v>
      </c>
      <c r="H141" s="7">
        <v>100</v>
      </c>
      <c r="I141" s="7">
        <v>150</v>
      </c>
      <c r="J141" s="7">
        <v>160</v>
      </c>
      <c r="K141" s="7">
        <f t="shared" si="6"/>
        <v>3000</v>
      </c>
      <c r="L141" s="7">
        <f t="shared" si="7"/>
        <v>4500</v>
      </c>
      <c r="M141" s="14">
        <f t="shared" si="8"/>
        <v>4800</v>
      </c>
    </row>
    <row r="142" spans="1:13" x14ac:dyDescent="0.35">
      <c r="A142" s="3" t="s">
        <v>12</v>
      </c>
      <c r="B142" s="3" t="s">
        <v>13</v>
      </c>
      <c r="C142" s="3" t="s">
        <v>143</v>
      </c>
      <c r="D142" s="4" t="s">
        <v>164</v>
      </c>
      <c r="E142" s="4" t="s">
        <v>165</v>
      </c>
      <c r="F142" s="5">
        <v>0.02</v>
      </c>
      <c r="G142" s="10">
        <v>40</v>
      </c>
      <c r="H142" s="7">
        <v>45</v>
      </c>
      <c r="I142" s="7">
        <v>50</v>
      </c>
      <c r="J142" s="7">
        <v>50</v>
      </c>
      <c r="K142" s="7">
        <f t="shared" si="6"/>
        <v>1800</v>
      </c>
      <c r="L142" s="7">
        <f t="shared" si="7"/>
        <v>2000</v>
      </c>
      <c r="M142" s="14">
        <f t="shared" si="8"/>
        <v>2000</v>
      </c>
    </row>
    <row r="143" spans="1:13" x14ac:dyDescent="0.35">
      <c r="A143" s="3" t="s">
        <v>12</v>
      </c>
      <c r="B143" s="3" t="s">
        <v>13</v>
      </c>
      <c r="C143" s="3" t="s">
        <v>108</v>
      </c>
      <c r="D143" s="4" t="s">
        <v>121</v>
      </c>
      <c r="E143" s="4" t="s">
        <v>122</v>
      </c>
      <c r="F143" s="5">
        <v>1</v>
      </c>
      <c r="G143" s="10">
        <v>46</v>
      </c>
      <c r="H143" s="7">
        <v>205</v>
      </c>
      <c r="I143" s="7">
        <v>260</v>
      </c>
      <c r="J143" s="7">
        <v>280</v>
      </c>
      <c r="K143" s="7">
        <f t="shared" si="6"/>
        <v>9430</v>
      </c>
      <c r="L143" s="7">
        <f t="shared" si="7"/>
        <v>11960</v>
      </c>
      <c r="M143" s="14">
        <f t="shared" si="8"/>
        <v>12880</v>
      </c>
    </row>
    <row r="144" spans="1:13" x14ac:dyDescent="0.35">
      <c r="A144" s="3" t="s">
        <v>12</v>
      </c>
      <c r="B144" s="3" t="s">
        <v>13</v>
      </c>
      <c r="C144" s="3" t="s">
        <v>143</v>
      </c>
      <c r="D144" s="4" t="s">
        <v>162</v>
      </c>
      <c r="E144" s="4" t="s">
        <v>163</v>
      </c>
      <c r="F144" s="5">
        <v>0.01</v>
      </c>
      <c r="G144" s="10">
        <v>48</v>
      </c>
      <c r="H144" s="7">
        <v>55</v>
      </c>
      <c r="I144" s="7">
        <v>60</v>
      </c>
      <c r="J144" s="7">
        <v>60</v>
      </c>
      <c r="K144" s="7">
        <f t="shared" si="6"/>
        <v>2640</v>
      </c>
      <c r="L144" s="7">
        <f t="shared" si="7"/>
        <v>2880</v>
      </c>
      <c r="M144" s="14">
        <f t="shared" si="8"/>
        <v>2880</v>
      </c>
    </row>
    <row r="145" spans="1:13" x14ac:dyDescent="0.35">
      <c r="A145" s="3" t="s">
        <v>12</v>
      </c>
      <c r="B145" s="3" t="s">
        <v>13</v>
      </c>
      <c r="C145" s="3" t="s">
        <v>138</v>
      </c>
      <c r="D145" s="4" t="s">
        <v>139</v>
      </c>
      <c r="E145" s="4" t="s">
        <v>140</v>
      </c>
      <c r="F145" s="5">
        <v>0</v>
      </c>
      <c r="G145" s="10">
        <v>49</v>
      </c>
      <c r="H145" s="7">
        <v>39</v>
      </c>
      <c r="I145" s="7">
        <v>50</v>
      </c>
      <c r="J145" s="7">
        <v>50</v>
      </c>
      <c r="K145" s="7">
        <f t="shared" si="6"/>
        <v>1911</v>
      </c>
      <c r="L145" s="7">
        <f t="shared" si="7"/>
        <v>2450</v>
      </c>
      <c r="M145" s="14">
        <f t="shared" si="8"/>
        <v>2450</v>
      </c>
    </row>
    <row r="146" spans="1:13" x14ac:dyDescent="0.35">
      <c r="A146" s="3" t="s">
        <v>12</v>
      </c>
      <c r="B146" s="3" t="s">
        <v>13</v>
      </c>
      <c r="C146" s="3" t="s">
        <v>13</v>
      </c>
      <c r="D146" s="4" t="s">
        <v>275</v>
      </c>
      <c r="E146" s="4" t="s">
        <v>276</v>
      </c>
      <c r="F146" s="5">
        <v>0</v>
      </c>
      <c r="G146" s="10">
        <v>50</v>
      </c>
      <c r="H146" s="7">
        <v>62</v>
      </c>
      <c r="I146" s="7">
        <v>80</v>
      </c>
      <c r="J146" s="7">
        <v>80</v>
      </c>
      <c r="K146" s="7">
        <f t="shared" si="6"/>
        <v>3100</v>
      </c>
      <c r="L146" s="7">
        <f t="shared" si="7"/>
        <v>4000</v>
      </c>
      <c r="M146" s="14">
        <f t="shared" si="8"/>
        <v>4000</v>
      </c>
    </row>
    <row r="147" spans="1:13" x14ac:dyDescent="0.35">
      <c r="A147" s="3" t="s">
        <v>12</v>
      </c>
      <c r="B147" s="3" t="s">
        <v>13</v>
      </c>
      <c r="C147" s="3" t="s">
        <v>79</v>
      </c>
      <c r="D147" s="4" t="s">
        <v>82</v>
      </c>
      <c r="E147" s="4" t="s">
        <v>83</v>
      </c>
      <c r="F147" s="5">
        <v>0</v>
      </c>
      <c r="G147" s="10">
        <v>90</v>
      </c>
      <c r="H147" s="7">
        <v>18.329999999999998</v>
      </c>
      <c r="I147" s="7">
        <v>19.329999999999998</v>
      </c>
      <c r="J147" s="7">
        <v>20</v>
      </c>
      <c r="K147" s="7">
        <f t="shared" si="6"/>
        <v>1649.6999999999998</v>
      </c>
      <c r="L147" s="7">
        <f t="shared" si="7"/>
        <v>1739.6999999999998</v>
      </c>
      <c r="M147" s="14">
        <f t="shared" si="8"/>
        <v>1800</v>
      </c>
    </row>
    <row r="148" spans="1:13" x14ac:dyDescent="0.35">
      <c r="A148" s="3" t="s">
        <v>296</v>
      </c>
      <c r="B148" s="3" t="s">
        <v>297</v>
      </c>
      <c r="C148" s="3" t="s">
        <v>299</v>
      </c>
      <c r="D148" s="4" t="s">
        <v>300</v>
      </c>
      <c r="E148" s="4" t="s">
        <v>301</v>
      </c>
      <c r="F148" s="5">
        <v>0.22500000000000001</v>
      </c>
      <c r="G148" s="10">
        <v>6</v>
      </c>
      <c r="H148" s="7">
        <v>180</v>
      </c>
      <c r="I148" s="7">
        <v>200</v>
      </c>
      <c r="J148" s="7">
        <v>200</v>
      </c>
      <c r="K148" s="7">
        <f t="shared" si="6"/>
        <v>1080</v>
      </c>
      <c r="L148" s="7">
        <f t="shared" si="7"/>
        <v>1200</v>
      </c>
      <c r="M148" s="14">
        <f t="shared" si="8"/>
        <v>1200</v>
      </c>
    </row>
    <row r="149" spans="1:13" x14ac:dyDescent="0.35">
      <c r="A149" s="3" t="s">
        <v>296</v>
      </c>
      <c r="B149" s="3" t="s">
        <v>297</v>
      </c>
      <c r="C149" s="3" t="s">
        <v>299</v>
      </c>
      <c r="D149" s="4" t="s">
        <v>302</v>
      </c>
      <c r="E149" s="4" t="s">
        <v>303</v>
      </c>
      <c r="F149" s="5">
        <v>0.125</v>
      </c>
      <c r="G149" s="10">
        <v>0</v>
      </c>
      <c r="H149" s="7">
        <v>115</v>
      </c>
      <c r="I149" s="7">
        <v>130</v>
      </c>
      <c r="J149" s="7">
        <v>130</v>
      </c>
      <c r="K149" s="7">
        <f t="shared" si="6"/>
        <v>0</v>
      </c>
      <c r="L149" s="7">
        <f t="shared" si="7"/>
        <v>0</v>
      </c>
      <c r="M149" s="14">
        <f t="shared" si="8"/>
        <v>0</v>
      </c>
    </row>
    <row r="150" spans="1:13" x14ac:dyDescent="0.35">
      <c r="A150" s="3" t="s">
        <v>296</v>
      </c>
      <c r="B150" s="3" t="s">
        <v>297</v>
      </c>
      <c r="C150" s="3" t="s">
        <v>299</v>
      </c>
      <c r="D150" s="4" t="s">
        <v>304</v>
      </c>
      <c r="E150" s="4" t="s">
        <v>305</v>
      </c>
      <c r="F150" s="5">
        <v>0.75</v>
      </c>
      <c r="G150" s="10">
        <v>0</v>
      </c>
      <c r="H150" s="7">
        <v>690</v>
      </c>
      <c r="I150" s="7">
        <v>800</v>
      </c>
      <c r="J150" s="7">
        <v>800</v>
      </c>
      <c r="K150" s="7">
        <f t="shared" si="6"/>
        <v>0</v>
      </c>
      <c r="L150" s="7">
        <f t="shared" si="7"/>
        <v>0</v>
      </c>
      <c r="M150" s="14">
        <f t="shared" si="8"/>
        <v>0</v>
      </c>
    </row>
    <row r="151" spans="1:13" x14ac:dyDescent="0.35">
      <c r="A151" s="3" t="s">
        <v>296</v>
      </c>
      <c r="B151" s="3" t="s">
        <v>297</v>
      </c>
      <c r="C151" s="3" t="s">
        <v>299</v>
      </c>
      <c r="D151" s="4" t="s">
        <v>306</v>
      </c>
      <c r="E151" s="4" t="s">
        <v>307</v>
      </c>
      <c r="F151" s="5">
        <v>1</v>
      </c>
      <c r="G151" s="10">
        <v>0</v>
      </c>
      <c r="H151" s="7">
        <v>830</v>
      </c>
      <c r="I151" s="7">
        <v>1050</v>
      </c>
      <c r="J151" s="7">
        <v>1050</v>
      </c>
      <c r="K151" s="7">
        <f t="shared" si="6"/>
        <v>0</v>
      </c>
      <c r="L151" s="7">
        <f t="shared" si="7"/>
        <v>0</v>
      </c>
      <c r="M151" s="14">
        <f t="shared" si="8"/>
        <v>0</v>
      </c>
    </row>
    <row r="152" spans="1:13" x14ac:dyDescent="0.35">
      <c r="A152" s="3" t="s">
        <v>296</v>
      </c>
      <c r="B152" s="3" t="s">
        <v>297</v>
      </c>
      <c r="C152" s="3" t="s">
        <v>299</v>
      </c>
      <c r="D152" s="4" t="s">
        <v>308</v>
      </c>
      <c r="E152" s="4" t="s">
        <v>309</v>
      </c>
      <c r="F152" s="5">
        <v>0.45</v>
      </c>
      <c r="G152" s="10">
        <v>2</v>
      </c>
      <c r="H152" s="7">
        <v>410</v>
      </c>
      <c r="I152" s="7">
        <v>470</v>
      </c>
      <c r="J152" s="7">
        <v>475</v>
      </c>
      <c r="K152" s="7">
        <f t="shared" si="6"/>
        <v>820</v>
      </c>
      <c r="L152" s="7">
        <f t="shared" si="7"/>
        <v>940</v>
      </c>
      <c r="M152" s="14">
        <f t="shared" si="8"/>
        <v>950</v>
      </c>
    </row>
    <row r="153" spans="1:13" x14ac:dyDescent="0.35">
      <c r="A153" s="3" t="s">
        <v>296</v>
      </c>
      <c r="B153" s="3" t="s">
        <v>297</v>
      </c>
      <c r="C153" s="3" t="s">
        <v>299</v>
      </c>
      <c r="D153" s="4" t="s">
        <v>310</v>
      </c>
      <c r="E153" s="4" t="s">
        <v>311</v>
      </c>
      <c r="F153" s="5">
        <v>0.22500000000000001</v>
      </c>
      <c r="G153" s="10">
        <v>2</v>
      </c>
      <c r="H153" s="7">
        <v>180</v>
      </c>
      <c r="I153" s="7">
        <v>200</v>
      </c>
      <c r="J153" s="7">
        <v>200</v>
      </c>
      <c r="K153" s="7">
        <f t="shared" si="6"/>
        <v>360</v>
      </c>
      <c r="L153" s="7">
        <f t="shared" si="7"/>
        <v>400</v>
      </c>
      <c r="M153" s="14">
        <f t="shared" si="8"/>
        <v>400</v>
      </c>
    </row>
    <row r="154" spans="1:13" x14ac:dyDescent="0.35">
      <c r="A154" s="3" t="s">
        <v>296</v>
      </c>
      <c r="B154" s="3" t="s">
        <v>297</v>
      </c>
      <c r="C154" s="3" t="s">
        <v>312</v>
      </c>
      <c r="D154" s="4" t="s">
        <v>313</v>
      </c>
      <c r="E154" s="4" t="s">
        <v>314</v>
      </c>
      <c r="F154" s="5">
        <v>0</v>
      </c>
      <c r="G154" s="10">
        <v>0</v>
      </c>
      <c r="H154" s="7">
        <v>50</v>
      </c>
      <c r="I154" s="7">
        <v>60</v>
      </c>
      <c r="J154" s="7">
        <v>60</v>
      </c>
      <c r="K154" s="7">
        <f t="shared" si="6"/>
        <v>0</v>
      </c>
      <c r="L154" s="7">
        <f t="shared" si="7"/>
        <v>0</v>
      </c>
      <c r="M154" s="14">
        <f t="shared" si="8"/>
        <v>0</v>
      </c>
    </row>
    <row r="155" spans="1:13" x14ac:dyDescent="0.35">
      <c r="A155" s="3" t="s">
        <v>296</v>
      </c>
      <c r="B155" s="3" t="s">
        <v>297</v>
      </c>
      <c r="C155" s="3" t="s">
        <v>312</v>
      </c>
      <c r="D155" s="4" t="s">
        <v>315</v>
      </c>
      <c r="E155" s="4" t="s">
        <v>316</v>
      </c>
      <c r="F155" s="5">
        <v>0.5</v>
      </c>
      <c r="G155" s="10">
        <v>0</v>
      </c>
      <c r="H155" s="7">
        <v>85</v>
      </c>
      <c r="I155" s="7">
        <v>100</v>
      </c>
      <c r="J155" s="7">
        <v>100</v>
      </c>
      <c r="K155" s="7">
        <f t="shared" si="6"/>
        <v>0</v>
      </c>
      <c r="L155" s="7">
        <f t="shared" si="7"/>
        <v>0</v>
      </c>
      <c r="M155" s="14">
        <f t="shared" si="8"/>
        <v>0</v>
      </c>
    </row>
    <row r="156" spans="1:13" x14ac:dyDescent="0.35">
      <c r="A156" s="3" t="s">
        <v>296</v>
      </c>
      <c r="B156" s="3" t="s">
        <v>297</v>
      </c>
      <c r="C156" s="3" t="s">
        <v>317</v>
      </c>
      <c r="D156" s="4" t="s">
        <v>318</v>
      </c>
      <c r="E156" s="4" t="s">
        <v>319</v>
      </c>
      <c r="F156" s="5">
        <v>0</v>
      </c>
      <c r="G156" s="10">
        <v>0</v>
      </c>
      <c r="H156" s="7">
        <v>245</v>
      </c>
      <c r="I156" s="7">
        <v>280</v>
      </c>
      <c r="J156" s="7">
        <v>280</v>
      </c>
      <c r="K156" s="7">
        <f t="shared" si="6"/>
        <v>0</v>
      </c>
      <c r="L156" s="7">
        <f t="shared" si="7"/>
        <v>0</v>
      </c>
      <c r="M156" s="14">
        <f t="shared" si="8"/>
        <v>0</v>
      </c>
    </row>
    <row r="157" spans="1:13" x14ac:dyDescent="0.35">
      <c r="A157" s="3" t="s">
        <v>296</v>
      </c>
      <c r="B157" s="3" t="s">
        <v>297</v>
      </c>
      <c r="C157" s="3" t="s">
        <v>317</v>
      </c>
      <c r="D157" s="4" t="s">
        <v>320</v>
      </c>
      <c r="E157" s="4" t="s">
        <v>321</v>
      </c>
      <c r="F157" s="5">
        <v>0.4</v>
      </c>
      <c r="G157" s="10">
        <v>0</v>
      </c>
      <c r="H157" s="7">
        <v>485</v>
      </c>
      <c r="I157" s="7">
        <v>550</v>
      </c>
      <c r="J157" s="7">
        <v>550</v>
      </c>
      <c r="K157" s="7">
        <f t="shared" si="6"/>
        <v>0</v>
      </c>
      <c r="L157" s="7">
        <f t="shared" si="7"/>
        <v>0</v>
      </c>
      <c r="M157" s="14">
        <f t="shared" si="8"/>
        <v>0</v>
      </c>
    </row>
    <row r="158" spans="1:13" x14ac:dyDescent="0.35">
      <c r="A158" s="3" t="s">
        <v>296</v>
      </c>
      <c r="B158" s="3" t="s">
        <v>297</v>
      </c>
      <c r="C158" s="3" t="s">
        <v>317</v>
      </c>
      <c r="D158" s="4" t="s">
        <v>322</v>
      </c>
      <c r="E158" s="4" t="s">
        <v>323</v>
      </c>
      <c r="F158" s="5">
        <v>0.3</v>
      </c>
      <c r="G158" s="10">
        <v>1</v>
      </c>
      <c r="H158" s="7">
        <v>380</v>
      </c>
      <c r="I158" s="7">
        <v>440</v>
      </c>
      <c r="J158" s="7">
        <v>440</v>
      </c>
      <c r="K158" s="7">
        <f t="shared" si="6"/>
        <v>380</v>
      </c>
      <c r="L158" s="7">
        <f t="shared" si="7"/>
        <v>440</v>
      </c>
      <c r="M158" s="14">
        <f t="shared" si="8"/>
        <v>440</v>
      </c>
    </row>
    <row r="159" spans="1:13" x14ac:dyDescent="0.35">
      <c r="A159" s="3" t="s">
        <v>296</v>
      </c>
      <c r="B159" s="3" t="s">
        <v>297</v>
      </c>
      <c r="C159" s="3" t="s">
        <v>317</v>
      </c>
      <c r="D159" s="4" t="s">
        <v>324</v>
      </c>
      <c r="E159" s="4" t="s">
        <v>325</v>
      </c>
      <c r="F159" s="5">
        <v>0.3</v>
      </c>
      <c r="G159" s="10">
        <v>0</v>
      </c>
      <c r="H159" s="7">
        <v>300</v>
      </c>
      <c r="I159" s="7">
        <v>350</v>
      </c>
      <c r="J159" s="7">
        <v>380</v>
      </c>
      <c r="K159" s="7">
        <f t="shared" si="6"/>
        <v>0</v>
      </c>
      <c r="L159" s="7">
        <f t="shared" si="7"/>
        <v>0</v>
      </c>
      <c r="M159" s="14">
        <f t="shared" si="8"/>
        <v>0</v>
      </c>
    </row>
    <row r="160" spans="1:13" x14ac:dyDescent="0.35">
      <c r="A160" s="3" t="s">
        <v>296</v>
      </c>
      <c r="B160" s="3" t="s">
        <v>297</v>
      </c>
      <c r="C160" s="3" t="s">
        <v>317</v>
      </c>
      <c r="D160" s="4" t="s">
        <v>326</v>
      </c>
      <c r="E160" s="4" t="s">
        <v>327</v>
      </c>
      <c r="F160" s="5">
        <v>0.3</v>
      </c>
      <c r="G160" s="10">
        <v>0</v>
      </c>
      <c r="H160" s="7">
        <v>280</v>
      </c>
      <c r="I160" s="7">
        <v>330</v>
      </c>
      <c r="J160" s="7">
        <v>330</v>
      </c>
      <c r="K160" s="7">
        <f t="shared" si="6"/>
        <v>0</v>
      </c>
      <c r="L160" s="7">
        <f t="shared" si="7"/>
        <v>0</v>
      </c>
      <c r="M160" s="14">
        <f t="shared" si="8"/>
        <v>0</v>
      </c>
    </row>
    <row r="161" spans="1:13" x14ac:dyDescent="0.35">
      <c r="A161" s="3" t="s">
        <v>296</v>
      </c>
      <c r="B161" s="3" t="s">
        <v>297</v>
      </c>
      <c r="C161" s="3" t="s">
        <v>328</v>
      </c>
      <c r="D161" s="4" t="s">
        <v>329</v>
      </c>
      <c r="E161" s="4" t="s">
        <v>330</v>
      </c>
      <c r="F161" s="5">
        <v>0</v>
      </c>
      <c r="G161" s="10">
        <v>0</v>
      </c>
      <c r="H161" s="7">
        <v>135</v>
      </c>
      <c r="I161" s="7">
        <v>160</v>
      </c>
      <c r="J161" s="7">
        <v>160</v>
      </c>
      <c r="K161" s="7">
        <f t="shared" si="6"/>
        <v>0</v>
      </c>
      <c r="L161" s="7">
        <f t="shared" si="7"/>
        <v>0</v>
      </c>
      <c r="M161" s="14">
        <f t="shared" si="8"/>
        <v>0</v>
      </c>
    </row>
    <row r="162" spans="1:13" x14ac:dyDescent="0.35">
      <c r="A162" s="3" t="s">
        <v>296</v>
      </c>
      <c r="B162" s="3" t="s">
        <v>297</v>
      </c>
      <c r="C162" s="3" t="s">
        <v>328</v>
      </c>
      <c r="D162" s="4" t="s">
        <v>331</v>
      </c>
      <c r="E162" s="4" t="s">
        <v>332</v>
      </c>
      <c r="F162" s="5">
        <v>0</v>
      </c>
      <c r="G162" s="10">
        <v>0</v>
      </c>
      <c r="H162" s="7">
        <v>300</v>
      </c>
      <c r="I162" s="7">
        <v>350</v>
      </c>
      <c r="J162" s="7">
        <v>350</v>
      </c>
      <c r="K162" s="7">
        <f t="shared" si="6"/>
        <v>0</v>
      </c>
      <c r="L162" s="7">
        <f t="shared" si="7"/>
        <v>0</v>
      </c>
      <c r="M162" s="14">
        <f t="shared" si="8"/>
        <v>0</v>
      </c>
    </row>
    <row r="163" spans="1:13" x14ac:dyDescent="0.35">
      <c r="A163" s="3" t="s">
        <v>296</v>
      </c>
      <c r="B163" s="3" t="s">
        <v>297</v>
      </c>
      <c r="C163" s="3" t="s">
        <v>328</v>
      </c>
      <c r="D163" s="4" t="s">
        <v>333</v>
      </c>
      <c r="E163" s="4" t="s">
        <v>334</v>
      </c>
      <c r="F163" s="5">
        <v>0</v>
      </c>
      <c r="G163" s="10">
        <v>0</v>
      </c>
      <c r="H163" s="7">
        <v>56</v>
      </c>
      <c r="I163" s="7">
        <v>80</v>
      </c>
      <c r="J163" s="7">
        <v>80</v>
      </c>
      <c r="K163" s="7">
        <f t="shared" si="6"/>
        <v>0</v>
      </c>
      <c r="L163" s="7">
        <f t="shared" si="7"/>
        <v>0</v>
      </c>
      <c r="M163" s="14">
        <f t="shared" si="8"/>
        <v>0</v>
      </c>
    </row>
    <row r="164" spans="1:13" x14ac:dyDescent="0.35">
      <c r="A164" s="3" t="s">
        <v>296</v>
      </c>
      <c r="B164" s="3" t="s">
        <v>297</v>
      </c>
      <c r="C164" s="3" t="s">
        <v>328</v>
      </c>
      <c r="D164" s="4" t="s">
        <v>335</v>
      </c>
      <c r="E164" s="4" t="s">
        <v>336</v>
      </c>
      <c r="F164" s="5">
        <v>0</v>
      </c>
      <c r="G164" s="10">
        <v>6</v>
      </c>
      <c r="H164" s="7">
        <v>84</v>
      </c>
      <c r="I164" s="7">
        <v>100</v>
      </c>
      <c r="J164" s="7">
        <v>100</v>
      </c>
      <c r="K164" s="7">
        <f t="shared" si="6"/>
        <v>504</v>
      </c>
      <c r="L164" s="7">
        <f t="shared" si="7"/>
        <v>600</v>
      </c>
      <c r="M164" s="14">
        <f t="shared" si="8"/>
        <v>600</v>
      </c>
    </row>
    <row r="165" spans="1:13" x14ac:dyDescent="0.35">
      <c r="A165" s="3" t="s">
        <v>296</v>
      </c>
      <c r="B165" s="3" t="s">
        <v>297</v>
      </c>
      <c r="C165" s="3" t="s">
        <v>328</v>
      </c>
      <c r="D165" s="4" t="s">
        <v>337</v>
      </c>
      <c r="E165" s="4" t="s">
        <v>338</v>
      </c>
      <c r="F165" s="5">
        <v>0</v>
      </c>
      <c r="G165" s="10">
        <v>0</v>
      </c>
      <c r="H165" s="7">
        <v>550</v>
      </c>
      <c r="I165" s="7">
        <v>600</v>
      </c>
      <c r="J165" s="7">
        <v>600</v>
      </c>
      <c r="K165" s="7">
        <f t="shared" si="6"/>
        <v>0</v>
      </c>
      <c r="L165" s="7">
        <f t="shared" si="7"/>
        <v>0</v>
      </c>
      <c r="M165" s="14">
        <f t="shared" si="8"/>
        <v>0</v>
      </c>
    </row>
    <row r="166" spans="1:13" x14ac:dyDescent="0.35">
      <c r="A166" s="3" t="s">
        <v>296</v>
      </c>
      <c r="B166" s="3" t="s">
        <v>297</v>
      </c>
      <c r="C166" s="3" t="s">
        <v>297</v>
      </c>
      <c r="D166" s="4" t="s">
        <v>339</v>
      </c>
      <c r="E166" s="4" t="s">
        <v>340</v>
      </c>
      <c r="F166" s="5">
        <v>3</v>
      </c>
      <c r="G166" s="10">
        <v>0</v>
      </c>
      <c r="H166" s="7">
        <v>197</v>
      </c>
      <c r="I166" s="7">
        <v>250</v>
      </c>
      <c r="J166" s="7">
        <v>250</v>
      </c>
      <c r="K166" s="7">
        <f t="shared" si="6"/>
        <v>0</v>
      </c>
      <c r="L166" s="7">
        <f t="shared" si="7"/>
        <v>0</v>
      </c>
      <c r="M166" s="14">
        <f t="shared" si="8"/>
        <v>0</v>
      </c>
    </row>
    <row r="167" spans="1:13" x14ac:dyDescent="0.35">
      <c r="A167" s="3" t="s">
        <v>296</v>
      </c>
      <c r="B167" s="3" t="s">
        <v>297</v>
      </c>
      <c r="C167" s="3" t="s">
        <v>297</v>
      </c>
      <c r="D167" s="4" t="s">
        <v>341</v>
      </c>
      <c r="E167" s="4" t="s">
        <v>342</v>
      </c>
      <c r="F167" s="5">
        <v>0.25</v>
      </c>
      <c r="G167" s="10">
        <v>0</v>
      </c>
      <c r="H167" s="7">
        <v>66</v>
      </c>
      <c r="I167" s="7">
        <v>100</v>
      </c>
      <c r="J167" s="7">
        <v>100</v>
      </c>
      <c r="K167" s="7">
        <f t="shared" si="6"/>
        <v>0</v>
      </c>
      <c r="L167" s="7">
        <f t="shared" si="7"/>
        <v>0</v>
      </c>
      <c r="M167" s="14">
        <f t="shared" si="8"/>
        <v>0</v>
      </c>
    </row>
    <row r="168" spans="1:13" x14ac:dyDescent="0.35">
      <c r="A168" s="3" t="s">
        <v>296</v>
      </c>
      <c r="B168" s="3" t="s">
        <v>297</v>
      </c>
      <c r="C168" s="3" t="s">
        <v>297</v>
      </c>
      <c r="D168" s="4" t="s">
        <v>343</v>
      </c>
      <c r="E168" s="4" t="s">
        <v>344</v>
      </c>
      <c r="F168" s="5">
        <v>0.5</v>
      </c>
      <c r="G168" s="10">
        <v>0</v>
      </c>
      <c r="H168" s="7">
        <v>88.8</v>
      </c>
      <c r="I168" s="7">
        <v>120</v>
      </c>
      <c r="J168" s="7">
        <v>130</v>
      </c>
      <c r="K168" s="7">
        <f t="shared" si="6"/>
        <v>0</v>
      </c>
      <c r="L168" s="7">
        <f t="shared" si="7"/>
        <v>0</v>
      </c>
      <c r="M168" s="14">
        <f t="shared" si="8"/>
        <v>0</v>
      </c>
    </row>
    <row r="169" spans="1:13" x14ac:dyDescent="0.35">
      <c r="A169" s="3" t="s">
        <v>296</v>
      </c>
      <c r="B169" s="3" t="s">
        <v>297</v>
      </c>
      <c r="C169" s="3" t="s">
        <v>297</v>
      </c>
      <c r="D169" s="4" t="s">
        <v>345</v>
      </c>
      <c r="E169" s="4" t="s">
        <v>346</v>
      </c>
      <c r="F169" s="5">
        <v>0.5</v>
      </c>
      <c r="G169" s="10">
        <v>0</v>
      </c>
      <c r="H169" s="7">
        <v>203.8</v>
      </c>
      <c r="I169" s="7">
        <v>260</v>
      </c>
      <c r="J169" s="7">
        <v>260</v>
      </c>
      <c r="K169" s="7">
        <f t="shared" si="6"/>
        <v>0</v>
      </c>
      <c r="L169" s="7">
        <f t="shared" si="7"/>
        <v>0</v>
      </c>
      <c r="M169" s="14">
        <f t="shared" si="8"/>
        <v>0</v>
      </c>
    </row>
    <row r="170" spans="1:13" x14ac:dyDescent="0.35">
      <c r="A170" s="3" t="s">
        <v>296</v>
      </c>
      <c r="B170" s="3" t="s">
        <v>297</v>
      </c>
      <c r="C170" s="3" t="s">
        <v>297</v>
      </c>
      <c r="D170" s="4" t="s">
        <v>347</v>
      </c>
      <c r="E170" s="4" t="s">
        <v>348</v>
      </c>
      <c r="F170" s="5">
        <v>0.5</v>
      </c>
      <c r="G170" s="10">
        <v>0</v>
      </c>
      <c r="H170" s="7">
        <v>230</v>
      </c>
      <c r="I170" s="7">
        <v>280</v>
      </c>
      <c r="J170" s="7">
        <v>280</v>
      </c>
      <c r="K170" s="7">
        <f t="shared" si="6"/>
        <v>0</v>
      </c>
      <c r="L170" s="7">
        <f t="shared" si="7"/>
        <v>0</v>
      </c>
      <c r="M170" s="14">
        <f t="shared" si="8"/>
        <v>0</v>
      </c>
    </row>
    <row r="171" spans="1:13" x14ac:dyDescent="0.35">
      <c r="A171" s="3" t="s">
        <v>296</v>
      </c>
      <c r="B171" s="3" t="s">
        <v>297</v>
      </c>
      <c r="C171" s="3" t="s">
        <v>297</v>
      </c>
      <c r="D171" s="4" t="s">
        <v>349</v>
      </c>
      <c r="E171" s="4" t="s">
        <v>350</v>
      </c>
      <c r="F171" s="5">
        <v>0.25</v>
      </c>
      <c r="G171" s="10">
        <v>0</v>
      </c>
      <c r="H171" s="7">
        <v>170</v>
      </c>
      <c r="I171" s="7">
        <v>200</v>
      </c>
      <c r="J171" s="7">
        <v>200</v>
      </c>
      <c r="K171" s="7">
        <f t="shared" si="6"/>
        <v>0</v>
      </c>
      <c r="L171" s="7">
        <f t="shared" si="7"/>
        <v>0</v>
      </c>
      <c r="M171" s="14">
        <f t="shared" si="8"/>
        <v>0</v>
      </c>
    </row>
    <row r="172" spans="1:13" x14ac:dyDescent="0.35">
      <c r="A172" s="3" t="s">
        <v>296</v>
      </c>
      <c r="B172" s="3" t="s">
        <v>297</v>
      </c>
      <c r="C172" s="3" t="s">
        <v>297</v>
      </c>
      <c r="D172" s="4" t="s">
        <v>351</v>
      </c>
      <c r="E172" s="4" t="s">
        <v>352</v>
      </c>
      <c r="F172" s="5">
        <v>0.5</v>
      </c>
      <c r="G172" s="10">
        <v>0</v>
      </c>
      <c r="H172" s="7">
        <v>175</v>
      </c>
      <c r="I172" s="7">
        <v>220</v>
      </c>
      <c r="J172" s="7">
        <v>220</v>
      </c>
      <c r="K172" s="7">
        <f t="shared" si="6"/>
        <v>0</v>
      </c>
      <c r="L172" s="7">
        <f t="shared" si="7"/>
        <v>0</v>
      </c>
      <c r="M172" s="14">
        <f t="shared" si="8"/>
        <v>0</v>
      </c>
    </row>
    <row r="173" spans="1:13" x14ac:dyDescent="0.35">
      <c r="A173" s="3" t="s">
        <v>296</v>
      </c>
      <c r="B173" s="3" t="s">
        <v>297</v>
      </c>
      <c r="C173" s="3" t="s">
        <v>297</v>
      </c>
      <c r="D173" s="4" t="s">
        <v>353</v>
      </c>
      <c r="E173" s="4" t="s">
        <v>354</v>
      </c>
      <c r="F173" s="5">
        <v>0.2</v>
      </c>
      <c r="G173" s="10">
        <v>0</v>
      </c>
      <c r="H173" s="7">
        <v>350</v>
      </c>
      <c r="I173" s="7">
        <v>420</v>
      </c>
      <c r="J173" s="7">
        <v>420</v>
      </c>
      <c r="K173" s="7">
        <f t="shared" si="6"/>
        <v>0</v>
      </c>
      <c r="L173" s="7">
        <f t="shared" si="7"/>
        <v>0</v>
      </c>
      <c r="M173" s="14">
        <f t="shared" si="8"/>
        <v>0</v>
      </c>
    </row>
    <row r="174" spans="1:13" x14ac:dyDescent="0.35">
      <c r="A174" s="3" t="s">
        <v>296</v>
      </c>
      <c r="B174" s="3" t="s">
        <v>297</v>
      </c>
      <c r="C174" s="3" t="s">
        <v>297</v>
      </c>
      <c r="D174" s="4" t="s">
        <v>355</v>
      </c>
      <c r="E174" s="4" t="s">
        <v>356</v>
      </c>
      <c r="F174" s="5">
        <v>0.2</v>
      </c>
      <c r="G174" s="10">
        <v>0</v>
      </c>
      <c r="H174" s="7">
        <v>350</v>
      </c>
      <c r="I174" s="7">
        <v>420</v>
      </c>
      <c r="J174" s="7">
        <v>420</v>
      </c>
      <c r="K174" s="7">
        <f t="shared" si="6"/>
        <v>0</v>
      </c>
      <c r="L174" s="7">
        <f t="shared" si="7"/>
        <v>0</v>
      </c>
      <c r="M174" s="14">
        <f t="shared" si="8"/>
        <v>0</v>
      </c>
    </row>
    <row r="175" spans="1:13" x14ac:dyDescent="0.35">
      <c r="A175" s="3" t="s">
        <v>296</v>
      </c>
      <c r="B175" s="3" t="s">
        <v>297</v>
      </c>
      <c r="C175" s="3" t="s">
        <v>297</v>
      </c>
      <c r="D175" s="4" t="s">
        <v>357</v>
      </c>
      <c r="E175" s="4" t="s">
        <v>358</v>
      </c>
      <c r="F175" s="5">
        <v>0.2</v>
      </c>
      <c r="G175" s="10">
        <v>0</v>
      </c>
      <c r="H175" s="7">
        <v>0</v>
      </c>
      <c r="I175" s="7">
        <v>0</v>
      </c>
      <c r="J175" s="7">
        <v>0</v>
      </c>
      <c r="K175" s="7">
        <f t="shared" si="6"/>
        <v>0</v>
      </c>
      <c r="L175" s="7">
        <f t="shared" si="7"/>
        <v>0</v>
      </c>
      <c r="M175" s="14">
        <f t="shared" si="8"/>
        <v>0</v>
      </c>
    </row>
    <row r="176" spans="1:13" x14ac:dyDescent="0.35">
      <c r="A176" s="3" t="s">
        <v>296</v>
      </c>
      <c r="B176" s="3" t="s">
        <v>297</v>
      </c>
      <c r="C176" s="3" t="s">
        <v>297</v>
      </c>
      <c r="D176" s="4" t="s">
        <v>359</v>
      </c>
      <c r="E176" s="4" t="s">
        <v>360</v>
      </c>
      <c r="F176" s="5">
        <v>0.2</v>
      </c>
      <c r="G176" s="10">
        <v>0</v>
      </c>
      <c r="H176" s="7">
        <v>0</v>
      </c>
      <c r="I176" s="7">
        <v>0</v>
      </c>
      <c r="J176" s="7">
        <v>0</v>
      </c>
      <c r="K176" s="7">
        <f t="shared" si="6"/>
        <v>0</v>
      </c>
      <c r="L176" s="7">
        <f t="shared" si="7"/>
        <v>0</v>
      </c>
      <c r="M176" s="14">
        <f t="shared" si="8"/>
        <v>0</v>
      </c>
    </row>
    <row r="177" spans="1:13" x14ac:dyDescent="0.35">
      <c r="A177" s="3" t="s">
        <v>361</v>
      </c>
      <c r="B177" s="3" t="s">
        <v>362</v>
      </c>
      <c r="C177" s="3" t="s">
        <v>363</v>
      </c>
      <c r="D177" s="4" t="s">
        <v>298</v>
      </c>
      <c r="E177" s="4" t="s">
        <v>364</v>
      </c>
      <c r="F177" s="5">
        <v>1</v>
      </c>
      <c r="G177" s="10">
        <v>1</v>
      </c>
      <c r="H177" s="7">
        <v>287.5</v>
      </c>
      <c r="I177" s="7">
        <v>320</v>
      </c>
      <c r="J177" s="7">
        <v>320</v>
      </c>
      <c r="K177" s="7">
        <f t="shared" ref="K177:K196" si="9">H177*G177</f>
        <v>287.5</v>
      </c>
      <c r="L177" s="7">
        <f t="shared" ref="L177:L196" si="10">I177*G177</f>
        <v>320</v>
      </c>
      <c r="M177" s="14">
        <f t="shared" si="8"/>
        <v>320</v>
      </c>
    </row>
    <row r="178" spans="1:13" x14ac:dyDescent="0.35">
      <c r="A178" s="3" t="s">
        <v>361</v>
      </c>
      <c r="B178" s="3" t="s">
        <v>362</v>
      </c>
      <c r="C178" s="3" t="s">
        <v>365</v>
      </c>
      <c r="D178" s="4" t="s">
        <v>366</v>
      </c>
      <c r="E178" s="4" t="s">
        <v>367</v>
      </c>
      <c r="F178" s="5">
        <v>0</v>
      </c>
      <c r="G178" s="10">
        <v>1</v>
      </c>
      <c r="H178" s="7">
        <v>300</v>
      </c>
      <c r="I178" s="7">
        <v>340</v>
      </c>
      <c r="J178" s="7">
        <v>340</v>
      </c>
      <c r="K178" s="7">
        <f t="shared" si="9"/>
        <v>300</v>
      </c>
      <c r="L178" s="7">
        <f t="shared" si="10"/>
        <v>340</v>
      </c>
      <c r="M178" s="14">
        <f t="shared" si="8"/>
        <v>340</v>
      </c>
    </row>
    <row r="179" spans="1:13" x14ac:dyDescent="0.35">
      <c r="A179" s="3" t="s">
        <v>361</v>
      </c>
      <c r="B179" s="3" t="s">
        <v>362</v>
      </c>
      <c r="C179" s="3" t="s">
        <v>365</v>
      </c>
      <c r="D179" s="4" t="s">
        <v>368</v>
      </c>
      <c r="E179" s="4" t="s">
        <v>369</v>
      </c>
      <c r="F179" s="5">
        <v>0</v>
      </c>
      <c r="G179" s="10">
        <v>1</v>
      </c>
      <c r="H179" s="7">
        <v>550</v>
      </c>
      <c r="I179" s="7">
        <v>600</v>
      </c>
      <c r="J179" s="7">
        <v>600</v>
      </c>
      <c r="K179" s="7">
        <f t="shared" si="9"/>
        <v>550</v>
      </c>
      <c r="L179" s="7">
        <f t="shared" si="10"/>
        <v>600</v>
      </c>
      <c r="M179" s="14">
        <f t="shared" si="8"/>
        <v>600</v>
      </c>
    </row>
    <row r="180" spans="1:13" x14ac:dyDescent="0.35">
      <c r="A180" s="3" t="s">
        <v>361</v>
      </c>
      <c r="B180" s="3" t="s">
        <v>362</v>
      </c>
      <c r="C180" s="3" t="s">
        <v>365</v>
      </c>
      <c r="D180" s="4" t="s">
        <v>370</v>
      </c>
      <c r="E180" s="4" t="s">
        <v>371</v>
      </c>
      <c r="F180" s="5">
        <v>0</v>
      </c>
      <c r="G180" s="10">
        <v>1</v>
      </c>
      <c r="H180" s="7">
        <v>250</v>
      </c>
      <c r="I180" s="7">
        <v>300</v>
      </c>
      <c r="J180" s="7">
        <v>300</v>
      </c>
      <c r="K180" s="7">
        <f t="shared" si="9"/>
        <v>250</v>
      </c>
      <c r="L180" s="7">
        <f t="shared" si="10"/>
        <v>300</v>
      </c>
      <c r="M180" s="14">
        <f t="shared" si="8"/>
        <v>300</v>
      </c>
    </row>
    <row r="181" spans="1:13" x14ac:dyDescent="0.35">
      <c r="A181" s="3" t="s">
        <v>361</v>
      </c>
      <c r="B181" s="3" t="s">
        <v>362</v>
      </c>
      <c r="C181" s="3" t="s">
        <v>372</v>
      </c>
      <c r="D181" s="4" t="s">
        <v>373</v>
      </c>
      <c r="E181" s="4" t="s">
        <v>374</v>
      </c>
      <c r="F181" s="5">
        <v>0</v>
      </c>
      <c r="G181" s="10">
        <v>2</v>
      </c>
      <c r="H181" s="7">
        <v>380</v>
      </c>
      <c r="I181" s="7">
        <v>420</v>
      </c>
      <c r="J181" s="7">
        <v>420</v>
      </c>
      <c r="K181" s="7">
        <f t="shared" si="9"/>
        <v>760</v>
      </c>
      <c r="L181" s="7">
        <f t="shared" si="10"/>
        <v>840</v>
      </c>
      <c r="M181" s="14">
        <f t="shared" si="8"/>
        <v>840</v>
      </c>
    </row>
    <row r="182" spans="1:13" x14ac:dyDescent="0.35">
      <c r="A182" s="3" t="s">
        <v>361</v>
      </c>
      <c r="B182" s="3" t="s">
        <v>362</v>
      </c>
      <c r="C182" s="3" t="s">
        <v>388</v>
      </c>
      <c r="D182" s="4" t="s">
        <v>389</v>
      </c>
      <c r="E182" s="4" t="s">
        <v>390</v>
      </c>
      <c r="F182" s="5">
        <v>0</v>
      </c>
      <c r="G182" s="10">
        <v>2</v>
      </c>
      <c r="H182" s="7">
        <v>14</v>
      </c>
      <c r="I182" s="7">
        <v>20</v>
      </c>
      <c r="J182" s="7">
        <v>20</v>
      </c>
      <c r="K182" s="7">
        <f t="shared" si="9"/>
        <v>28</v>
      </c>
      <c r="L182" s="7">
        <f t="shared" si="10"/>
        <v>40</v>
      </c>
      <c r="M182" s="14">
        <f t="shared" si="8"/>
        <v>40</v>
      </c>
    </row>
    <row r="183" spans="1:13" x14ac:dyDescent="0.35">
      <c r="A183" s="3" t="s">
        <v>361</v>
      </c>
      <c r="B183" s="3" t="s">
        <v>14</v>
      </c>
      <c r="C183" s="3" t="s">
        <v>14</v>
      </c>
      <c r="D183" s="4" t="s">
        <v>375</v>
      </c>
      <c r="E183" s="4" t="s">
        <v>376</v>
      </c>
      <c r="F183" s="5">
        <v>0</v>
      </c>
      <c r="G183" s="10">
        <v>5</v>
      </c>
      <c r="H183" s="7">
        <v>215</v>
      </c>
      <c r="I183" s="7">
        <v>240</v>
      </c>
      <c r="J183" s="7">
        <v>240</v>
      </c>
      <c r="K183" s="7">
        <f t="shared" si="9"/>
        <v>1075</v>
      </c>
      <c r="L183" s="7">
        <f t="shared" si="10"/>
        <v>1200</v>
      </c>
      <c r="M183" s="14">
        <f t="shared" si="8"/>
        <v>1200</v>
      </c>
    </row>
    <row r="184" spans="1:13" x14ac:dyDescent="0.35">
      <c r="A184" s="3" t="s">
        <v>361</v>
      </c>
      <c r="B184" s="3" t="s">
        <v>362</v>
      </c>
      <c r="C184" s="3" t="s">
        <v>414</v>
      </c>
      <c r="D184" s="4" t="s">
        <v>415</v>
      </c>
      <c r="E184" s="4" t="s">
        <v>416</v>
      </c>
      <c r="F184" s="5">
        <v>0</v>
      </c>
      <c r="G184" s="10">
        <v>5</v>
      </c>
      <c r="H184" s="7">
        <v>4.4443999999999999</v>
      </c>
      <c r="I184" s="7">
        <v>10</v>
      </c>
      <c r="J184" s="7">
        <v>10</v>
      </c>
      <c r="K184" s="7">
        <f t="shared" si="9"/>
        <v>22.222000000000001</v>
      </c>
      <c r="L184" s="7">
        <f t="shared" si="10"/>
        <v>50</v>
      </c>
      <c r="M184" s="14">
        <f t="shared" si="8"/>
        <v>50</v>
      </c>
    </row>
    <row r="185" spans="1:13" x14ac:dyDescent="0.35">
      <c r="A185" s="3" t="s">
        <v>361</v>
      </c>
      <c r="B185" s="3" t="s">
        <v>362</v>
      </c>
      <c r="C185" s="3" t="s">
        <v>414</v>
      </c>
      <c r="D185" s="4" t="s">
        <v>417</v>
      </c>
      <c r="E185" s="4" t="s">
        <v>418</v>
      </c>
      <c r="F185" s="5">
        <v>0</v>
      </c>
      <c r="G185" s="10">
        <v>5</v>
      </c>
      <c r="H185" s="7">
        <v>3.8</v>
      </c>
      <c r="I185" s="7">
        <v>5</v>
      </c>
      <c r="J185" s="7">
        <v>5</v>
      </c>
      <c r="K185" s="7">
        <f t="shared" si="9"/>
        <v>19</v>
      </c>
      <c r="L185" s="7">
        <f t="shared" si="10"/>
        <v>25</v>
      </c>
      <c r="M185" s="14">
        <f t="shared" si="8"/>
        <v>25</v>
      </c>
    </row>
    <row r="186" spans="1:13" x14ac:dyDescent="0.35">
      <c r="A186" s="3" t="s">
        <v>361</v>
      </c>
      <c r="B186" s="3" t="s">
        <v>362</v>
      </c>
      <c r="C186" s="3" t="s">
        <v>391</v>
      </c>
      <c r="D186" s="4" t="s">
        <v>394</v>
      </c>
      <c r="E186" s="4" t="s">
        <v>395</v>
      </c>
      <c r="F186" s="5">
        <v>0</v>
      </c>
      <c r="G186" s="10">
        <v>6</v>
      </c>
      <c r="H186" s="7">
        <v>40</v>
      </c>
      <c r="I186" s="7">
        <v>50</v>
      </c>
      <c r="J186" s="7">
        <v>50</v>
      </c>
      <c r="K186" s="7">
        <f t="shared" si="9"/>
        <v>240</v>
      </c>
      <c r="L186" s="7">
        <f t="shared" si="10"/>
        <v>300</v>
      </c>
      <c r="M186" s="14">
        <f t="shared" si="8"/>
        <v>300</v>
      </c>
    </row>
    <row r="187" spans="1:13" x14ac:dyDescent="0.35">
      <c r="A187" s="3" t="s">
        <v>361</v>
      </c>
      <c r="B187" s="3" t="s">
        <v>362</v>
      </c>
      <c r="C187" s="3" t="s">
        <v>401</v>
      </c>
      <c r="D187" s="4" t="s">
        <v>402</v>
      </c>
      <c r="E187" s="4" t="s">
        <v>403</v>
      </c>
      <c r="F187" s="5">
        <v>0</v>
      </c>
      <c r="G187" s="10">
        <v>6</v>
      </c>
      <c r="H187" s="7">
        <v>40</v>
      </c>
      <c r="I187" s="7">
        <v>50</v>
      </c>
      <c r="J187" s="7">
        <v>50</v>
      </c>
      <c r="K187" s="7">
        <f t="shared" si="9"/>
        <v>240</v>
      </c>
      <c r="L187" s="7">
        <f t="shared" si="10"/>
        <v>300</v>
      </c>
      <c r="M187" s="14">
        <f t="shared" si="8"/>
        <v>300</v>
      </c>
    </row>
    <row r="188" spans="1:13" x14ac:dyDescent="0.35">
      <c r="A188" s="3" t="s">
        <v>361</v>
      </c>
      <c r="B188" s="3" t="s">
        <v>362</v>
      </c>
      <c r="C188" s="3" t="s">
        <v>405</v>
      </c>
      <c r="D188" s="4" t="s">
        <v>409</v>
      </c>
      <c r="E188" s="4" t="s">
        <v>410</v>
      </c>
      <c r="F188" s="5">
        <v>0</v>
      </c>
      <c r="G188" s="10">
        <v>6</v>
      </c>
      <c r="H188" s="7">
        <v>84</v>
      </c>
      <c r="I188" s="7">
        <v>100</v>
      </c>
      <c r="J188" s="7">
        <v>100</v>
      </c>
      <c r="K188" s="7">
        <f t="shared" si="9"/>
        <v>504</v>
      </c>
      <c r="L188" s="7">
        <f t="shared" si="10"/>
        <v>600</v>
      </c>
      <c r="M188" s="14">
        <f t="shared" si="8"/>
        <v>600</v>
      </c>
    </row>
    <row r="189" spans="1:13" x14ac:dyDescent="0.35">
      <c r="A189" s="3" t="s">
        <v>361</v>
      </c>
      <c r="B189" s="3" t="s">
        <v>362</v>
      </c>
      <c r="C189" s="3" t="s">
        <v>405</v>
      </c>
      <c r="D189" s="4" t="s">
        <v>411</v>
      </c>
      <c r="E189" s="4" t="s">
        <v>412</v>
      </c>
      <c r="F189" s="5">
        <v>0</v>
      </c>
      <c r="G189" s="10">
        <v>6</v>
      </c>
      <c r="H189" s="7">
        <v>35</v>
      </c>
      <c r="I189" s="7">
        <v>50</v>
      </c>
      <c r="J189" s="7">
        <v>50</v>
      </c>
      <c r="K189" s="7">
        <f t="shared" si="9"/>
        <v>210</v>
      </c>
      <c r="L189" s="7">
        <f t="shared" si="10"/>
        <v>300</v>
      </c>
      <c r="M189" s="14">
        <f t="shared" si="8"/>
        <v>300</v>
      </c>
    </row>
    <row r="190" spans="1:13" x14ac:dyDescent="0.35">
      <c r="A190" s="3" t="s">
        <v>361</v>
      </c>
      <c r="B190" s="3" t="s">
        <v>362</v>
      </c>
      <c r="C190" s="3" t="s">
        <v>380</v>
      </c>
      <c r="D190" s="4" t="s">
        <v>381</v>
      </c>
      <c r="E190" s="4" t="s">
        <v>382</v>
      </c>
      <c r="F190" s="5">
        <v>0</v>
      </c>
      <c r="G190" s="10">
        <v>10</v>
      </c>
      <c r="H190" s="7">
        <v>4.1666999999999996</v>
      </c>
      <c r="I190" s="7">
        <v>5</v>
      </c>
      <c r="J190" s="7">
        <v>5</v>
      </c>
      <c r="K190" s="7">
        <f t="shared" si="9"/>
        <v>41.666999999999994</v>
      </c>
      <c r="L190" s="7">
        <f t="shared" si="10"/>
        <v>50</v>
      </c>
      <c r="M190" s="14">
        <f t="shared" si="8"/>
        <v>50</v>
      </c>
    </row>
    <row r="191" spans="1:13" x14ac:dyDescent="0.35">
      <c r="A191" s="3" t="s">
        <v>361</v>
      </c>
      <c r="B191" s="3" t="s">
        <v>14</v>
      </c>
      <c r="C191" s="3" t="s">
        <v>14</v>
      </c>
      <c r="D191" s="4" t="s">
        <v>377</v>
      </c>
      <c r="E191" s="4" t="s">
        <v>378</v>
      </c>
      <c r="F191" s="5">
        <v>0.5</v>
      </c>
      <c r="G191" s="10">
        <v>11</v>
      </c>
      <c r="H191" s="7">
        <v>182</v>
      </c>
      <c r="I191" s="7">
        <v>200</v>
      </c>
      <c r="J191" s="7">
        <v>200</v>
      </c>
      <c r="K191" s="7">
        <f t="shared" si="9"/>
        <v>2002</v>
      </c>
      <c r="L191" s="7">
        <f t="shared" si="10"/>
        <v>2200</v>
      </c>
      <c r="M191" s="14">
        <f t="shared" si="8"/>
        <v>2200</v>
      </c>
    </row>
    <row r="192" spans="1:13" ht="15" customHeight="1" x14ac:dyDescent="0.35">
      <c r="A192" s="3" t="s">
        <v>361</v>
      </c>
      <c r="B192" s="3" t="s">
        <v>362</v>
      </c>
      <c r="C192" s="3" t="s">
        <v>405</v>
      </c>
      <c r="D192" s="4" t="s">
        <v>407</v>
      </c>
      <c r="E192" s="4" t="s">
        <v>408</v>
      </c>
      <c r="F192" s="5">
        <v>0</v>
      </c>
      <c r="G192" s="10">
        <v>14</v>
      </c>
      <c r="H192" s="7">
        <v>11.25</v>
      </c>
      <c r="I192" s="7">
        <v>15</v>
      </c>
      <c r="J192" s="7">
        <v>15</v>
      </c>
      <c r="K192" s="7">
        <f t="shared" si="9"/>
        <v>157.5</v>
      </c>
      <c r="L192" s="7">
        <f t="shared" si="10"/>
        <v>210</v>
      </c>
      <c r="M192" s="14">
        <f t="shared" si="8"/>
        <v>210</v>
      </c>
    </row>
    <row r="193" spans="1:13" x14ac:dyDescent="0.35">
      <c r="A193" s="3" t="s">
        <v>361</v>
      </c>
      <c r="B193" s="3" t="s">
        <v>362</v>
      </c>
      <c r="C193" s="3" t="s">
        <v>391</v>
      </c>
      <c r="D193" s="4" t="s">
        <v>392</v>
      </c>
      <c r="E193" s="4" t="s">
        <v>393</v>
      </c>
      <c r="F193" s="5">
        <v>0</v>
      </c>
      <c r="G193" s="10">
        <v>15</v>
      </c>
      <c r="H193" s="7">
        <v>60</v>
      </c>
      <c r="I193" s="7">
        <v>70</v>
      </c>
      <c r="J193" s="7">
        <v>70</v>
      </c>
      <c r="K193" s="7">
        <f t="shared" si="9"/>
        <v>900</v>
      </c>
      <c r="L193" s="7">
        <f t="shared" si="10"/>
        <v>1050</v>
      </c>
      <c r="M193" s="14">
        <f t="shared" si="8"/>
        <v>1050</v>
      </c>
    </row>
    <row r="194" spans="1:13" x14ac:dyDescent="0.35">
      <c r="A194" s="3" t="s">
        <v>361</v>
      </c>
      <c r="B194" s="3" t="s">
        <v>362</v>
      </c>
      <c r="C194" s="3" t="s">
        <v>384</v>
      </c>
      <c r="D194" s="4" t="s">
        <v>385</v>
      </c>
      <c r="E194" s="4" t="s">
        <v>386</v>
      </c>
      <c r="F194" s="5">
        <v>0</v>
      </c>
      <c r="G194" s="10">
        <v>30</v>
      </c>
      <c r="H194" s="7">
        <v>23.5</v>
      </c>
      <c r="I194" s="7">
        <v>30</v>
      </c>
      <c r="J194" s="7">
        <v>30</v>
      </c>
      <c r="K194" s="7">
        <f t="shared" si="9"/>
        <v>705</v>
      </c>
      <c r="L194" s="7">
        <f t="shared" si="10"/>
        <v>900</v>
      </c>
      <c r="M194" s="14">
        <f t="shared" si="8"/>
        <v>900</v>
      </c>
    </row>
    <row r="195" spans="1:13" x14ac:dyDescent="0.35">
      <c r="A195" s="3" t="s">
        <v>361</v>
      </c>
      <c r="B195" s="3" t="s">
        <v>362</v>
      </c>
      <c r="C195" s="3" t="s">
        <v>396</v>
      </c>
      <c r="D195" s="4" t="s">
        <v>399</v>
      </c>
      <c r="E195" s="4" t="s">
        <v>400</v>
      </c>
      <c r="F195" s="5">
        <v>0</v>
      </c>
      <c r="G195" s="10">
        <v>30</v>
      </c>
      <c r="H195" s="7">
        <v>13.5</v>
      </c>
      <c r="I195" s="7">
        <v>19</v>
      </c>
      <c r="J195" s="7">
        <v>20</v>
      </c>
      <c r="K195" s="7">
        <f t="shared" si="9"/>
        <v>405</v>
      </c>
      <c r="L195" s="7">
        <f t="shared" si="10"/>
        <v>570</v>
      </c>
      <c r="M195" s="14">
        <f t="shared" si="8"/>
        <v>600</v>
      </c>
    </row>
    <row r="196" spans="1:13" x14ac:dyDescent="0.35">
      <c r="A196" s="3" t="s">
        <v>361</v>
      </c>
      <c r="B196" s="3" t="s">
        <v>362</v>
      </c>
      <c r="C196" s="3" t="s">
        <v>396</v>
      </c>
      <c r="D196" s="4" t="s">
        <v>397</v>
      </c>
      <c r="E196" s="4" t="s">
        <v>398</v>
      </c>
      <c r="F196" s="5">
        <v>0</v>
      </c>
      <c r="G196" s="10">
        <v>50</v>
      </c>
      <c r="H196" s="7">
        <v>13</v>
      </c>
      <c r="I196" s="7">
        <v>20</v>
      </c>
      <c r="J196" s="7">
        <v>10</v>
      </c>
      <c r="K196" s="7">
        <f t="shared" si="9"/>
        <v>650</v>
      </c>
      <c r="L196" s="7">
        <f t="shared" si="10"/>
        <v>1000</v>
      </c>
      <c r="M196" s="14">
        <f t="shared" si="8"/>
        <v>500</v>
      </c>
    </row>
    <row r="197" spans="1:13" x14ac:dyDescent="0.35">
      <c r="A197" s="3" t="s">
        <v>419</v>
      </c>
      <c r="B197" s="8" t="s">
        <v>1829</v>
      </c>
      <c r="C197" s="3" t="s">
        <v>465</v>
      </c>
      <c r="D197" s="4" t="s">
        <v>466</v>
      </c>
      <c r="E197" s="4" t="s">
        <v>467</v>
      </c>
      <c r="F197" s="5">
        <v>1</v>
      </c>
      <c r="G197" s="10">
        <v>6</v>
      </c>
      <c r="H197" s="7">
        <v>185</v>
      </c>
      <c r="I197" s="7">
        <v>210</v>
      </c>
      <c r="J197" s="7">
        <v>220</v>
      </c>
      <c r="K197" s="7">
        <f t="shared" ref="K197:K212" si="11">H197*G197</f>
        <v>1110</v>
      </c>
      <c r="L197" s="7">
        <f t="shared" ref="L197:L212" si="12">I197*G197</f>
        <v>1260</v>
      </c>
      <c r="M197" s="14">
        <f t="shared" si="8"/>
        <v>1320</v>
      </c>
    </row>
    <row r="198" spans="1:13" x14ac:dyDescent="0.35">
      <c r="A198" s="3" t="s">
        <v>419</v>
      </c>
      <c r="B198" s="8" t="s">
        <v>1829</v>
      </c>
      <c r="C198" s="3" t="s">
        <v>465</v>
      </c>
      <c r="D198" s="4" t="s">
        <v>468</v>
      </c>
      <c r="E198" s="4" t="s">
        <v>469</v>
      </c>
      <c r="F198" s="5">
        <v>0.215</v>
      </c>
      <c r="G198" s="10">
        <v>11</v>
      </c>
      <c r="H198" s="7">
        <v>43.75</v>
      </c>
      <c r="I198" s="7">
        <v>50</v>
      </c>
      <c r="J198" s="7">
        <v>50</v>
      </c>
      <c r="K198" s="7">
        <f t="shared" si="11"/>
        <v>481.25</v>
      </c>
      <c r="L198" s="7">
        <f t="shared" si="12"/>
        <v>550</v>
      </c>
      <c r="M198" s="14">
        <f t="shared" si="8"/>
        <v>550</v>
      </c>
    </row>
    <row r="199" spans="1:13" x14ac:dyDescent="0.35">
      <c r="A199" s="3" t="s">
        <v>419</v>
      </c>
      <c r="B199" s="8" t="s">
        <v>1830</v>
      </c>
      <c r="C199" s="3" t="s">
        <v>479</v>
      </c>
      <c r="D199" s="4" t="s">
        <v>480</v>
      </c>
      <c r="E199" s="4" t="s">
        <v>481</v>
      </c>
      <c r="F199" s="5">
        <v>1</v>
      </c>
      <c r="G199" s="10">
        <v>1</v>
      </c>
      <c r="H199" s="7">
        <v>230</v>
      </c>
      <c r="I199" s="7">
        <v>280</v>
      </c>
      <c r="J199" s="7">
        <v>300</v>
      </c>
      <c r="K199" s="7">
        <f t="shared" si="11"/>
        <v>230</v>
      </c>
      <c r="L199" s="7">
        <f t="shared" si="12"/>
        <v>280</v>
      </c>
      <c r="M199" s="14">
        <f t="shared" si="8"/>
        <v>300</v>
      </c>
    </row>
    <row r="200" spans="1:13" x14ac:dyDescent="0.35">
      <c r="A200" s="3" t="s">
        <v>419</v>
      </c>
      <c r="B200" s="8" t="s">
        <v>1830</v>
      </c>
      <c r="C200" s="3" t="s">
        <v>479</v>
      </c>
      <c r="D200" s="4" t="s">
        <v>482</v>
      </c>
      <c r="E200" s="4" t="s">
        <v>483</v>
      </c>
      <c r="F200" s="5">
        <v>0.8</v>
      </c>
      <c r="G200" s="10">
        <v>2</v>
      </c>
      <c r="H200" s="7">
        <v>85</v>
      </c>
      <c r="I200" s="7">
        <v>100</v>
      </c>
      <c r="J200" s="7">
        <v>100</v>
      </c>
      <c r="K200" s="7">
        <f t="shared" si="11"/>
        <v>170</v>
      </c>
      <c r="L200" s="7">
        <f t="shared" si="12"/>
        <v>200</v>
      </c>
      <c r="M200" s="14">
        <f t="shared" si="8"/>
        <v>200</v>
      </c>
    </row>
    <row r="201" spans="1:13" x14ac:dyDescent="0.35">
      <c r="A201" s="3" t="s">
        <v>419</v>
      </c>
      <c r="B201" s="8" t="s">
        <v>1830</v>
      </c>
      <c r="C201" s="3" t="s">
        <v>479</v>
      </c>
      <c r="D201" s="4" t="s">
        <v>484</v>
      </c>
      <c r="E201" s="4" t="s">
        <v>485</v>
      </c>
      <c r="F201" s="5">
        <v>0.4</v>
      </c>
      <c r="G201" s="10">
        <v>2</v>
      </c>
      <c r="H201" s="7">
        <v>85</v>
      </c>
      <c r="I201" s="7">
        <v>95</v>
      </c>
      <c r="J201" s="7">
        <v>95</v>
      </c>
      <c r="K201" s="7">
        <f t="shared" si="11"/>
        <v>170</v>
      </c>
      <c r="L201" s="7">
        <f t="shared" si="12"/>
        <v>190</v>
      </c>
      <c r="M201" s="14">
        <f t="shared" si="8"/>
        <v>190</v>
      </c>
    </row>
    <row r="202" spans="1:13" x14ac:dyDescent="0.35">
      <c r="A202" s="3" t="s">
        <v>419</v>
      </c>
      <c r="B202" s="8" t="s">
        <v>1831</v>
      </c>
      <c r="C202" s="3" t="s">
        <v>486</v>
      </c>
      <c r="D202" s="4" t="s">
        <v>489</v>
      </c>
      <c r="E202" s="4" t="s">
        <v>490</v>
      </c>
      <c r="F202" s="5">
        <v>0.5</v>
      </c>
      <c r="G202" s="10">
        <v>1</v>
      </c>
      <c r="H202" s="7">
        <v>218.75</v>
      </c>
      <c r="I202" s="7">
        <v>280</v>
      </c>
      <c r="J202" s="7">
        <v>300</v>
      </c>
      <c r="K202" s="7">
        <f t="shared" si="11"/>
        <v>218.75</v>
      </c>
      <c r="L202" s="7">
        <f t="shared" si="12"/>
        <v>280</v>
      </c>
      <c r="M202" s="14">
        <f t="shared" si="8"/>
        <v>300</v>
      </c>
    </row>
    <row r="203" spans="1:13" x14ac:dyDescent="0.35">
      <c r="A203" s="3" t="s">
        <v>419</v>
      </c>
      <c r="B203" s="8" t="s">
        <v>1831</v>
      </c>
      <c r="C203" s="3" t="s">
        <v>486</v>
      </c>
      <c r="D203" s="4" t="s">
        <v>493</v>
      </c>
      <c r="E203" s="4" t="s">
        <v>494</v>
      </c>
      <c r="F203" s="5">
        <v>0.12</v>
      </c>
      <c r="G203" s="10">
        <v>1</v>
      </c>
      <c r="H203" s="7">
        <v>101.5</v>
      </c>
      <c r="I203" s="7">
        <v>115</v>
      </c>
      <c r="J203" s="7">
        <v>120</v>
      </c>
      <c r="K203" s="7">
        <f t="shared" si="11"/>
        <v>101.5</v>
      </c>
      <c r="L203" s="7">
        <f t="shared" si="12"/>
        <v>115</v>
      </c>
      <c r="M203" s="14">
        <f t="shared" si="8"/>
        <v>120</v>
      </c>
    </row>
    <row r="204" spans="1:13" x14ac:dyDescent="0.35">
      <c r="A204" s="3" t="s">
        <v>419</v>
      </c>
      <c r="B204" s="8" t="s">
        <v>1831</v>
      </c>
      <c r="C204" s="3" t="s">
        <v>486</v>
      </c>
      <c r="D204" s="4" t="s">
        <v>491</v>
      </c>
      <c r="E204" s="4" t="s">
        <v>492</v>
      </c>
      <c r="F204" s="5">
        <v>0.25</v>
      </c>
      <c r="G204" s="10">
        <v>2</v>
      </c>
      <c r="H204" s="7">
        <v>113.75</v>
      </c>
      <c r="I204" s="7">
        <v>150</v>
      </c>
      <c r="J204" s="7">
        <v>160</v>
      </c>
      <c r="K204" s="7">
        <f t="shared" si="11"/>
        <v>227.5</v>
      </c>
      <c r="L204" s="7">
        <f t="shared" si="12"/>
        <v>300</v>
      </c>
      <c r="M204" s="14">
        <f t="shared" ref="M204:M267" si="13">J204*G204</f>
        <v>320</v>
      </c>
    </row>
    <row r="205" spans="1:13" x14ac:dyDescent="0.35">
      <c r="A205" s="3" t="s">
        <v>419</v>
      </c>
      <c r="B205" s="8" t="s">
        <v>1831</v>
      </c>
      <c r="C205" s="3" t="s">
        <v>486</v>
      </c>
      <c r="D205" s="4" t="s">
        <v>495</v>
      </c>
      <c r="E205" s="4" t="s">
        <v>496</v>
      </c>
      <c r="F205" s="5">
        <v>0.12</v>
      </c>
      <c r="G205" s="10">
        <v>2</v>
      </c>
      <c r="H205" s="7">
        <v>102</v>
      </c>
      <c r="I205" s="7">
        <v>120</v>
      </c>
      <c r="J205" s="7">
        <v>120</v>
      </c>
      <c r="K205" s="7">
        <f t="shared" si="11"/>
        <v>204</v>
      </c>
      <c r="L205" s="7">
        <f t="shared" si="12"/>
        <v>240</v>
      </c>
      <c r="M205" s="14">
        <f t="shared" si="13"/>
        <v>240</v>
      </c>
    </row>
    <row r="206" spans="1:13" x14ac:dyDescent="0.35">
      <c r="A206" s="3" t="s">
        <v>419</v>
      </c>
      <c r="B206" s="8" t="s">
        <v>1831</v>
      </c>
      <c r="C206" s="3" t="s">
        <v>486</v>
      </c>
      <c r="D206" s="4" t="s">
        <v>487</v>
      </c>
      <c r="E206" s="4" t="s">
        <v>488</v>
      </c>
      <c r="F206" s="5">
        <v>0.11</v>
      </c>
      <c r="G206" s="10">
        <v>20</v>
      </c>
      <c r="H206" s="7">
        <v>17.29</v>
      </c>
      <c r="I206" s="7">
        <v>20</v>
      </c>
      <c r="J206" s="7">
        <v>20</v>
      </c>
      <c r="K206" s="7">
        <f t="shared" si="11"/>
        <v>345.79999999999995</v>
      </c>
      <c r="L206" s="7">
        <f t="shared" si="12"/>
        <v>400</v>
      </c>
      <c r="M206" s="14">
        <f t="shared" si="13"/>
        <v>400</v>
      </c>
    </row>
    <row r="207" spans="1:13" x14ac:dyDescent="0.35">
      <c r="A207" s="3" t="s">
        <v>419</v>
      </c>
      <c r="B207" s="8" t="s">
        <v>497</v>
      </c>
      <c r="C207" s="3" t="s">
        <v>497</v>
      </c>
      <c r="D207" s="4" t="s">
        <v>498</v>
      </c>
      <c r="E207" s="4" t="s">
        <v>1867</v>
      </c>
      <c r="F207" s="5">
        <v>0.5</v>
      </c>
      <c r="G207" s="10">
        <v>5</v>
      </c>
      <c r="H207" s="7">
        <v>245</v>
      </c>
      <c r="I207" s="7">
        <v>270</v>
      </c>
      <c r="J207" s="7">
        <v>275</v>
      </c>
      <c r="K207" s="7">
        <f t="shared" si="11"/>
        <v>1225</v>
      </c>
      <c r="L207" s="7">
        <f t="shared" si="12"/>
        <v>1350</v>
      </c>
      <c r="M207" s="14">
        <f t="shared" si="13"/>
        <v>1375</v>
      </c>
    </row>
    <row r="208" spans="1:13" x14ac:dyDescent="0.35">
      <c r="A208" s="3" t="s">
        <v>419</v>
      </c>
      <c r="B208" s="8" t="s">
        <v>497</v>
      </c>
      <c r="C208" s="3" t="s">
        <v>497</v>
      </c>
      <c r="D208" s="4" t="s">
        <v>499</v>
      </c>
      <c r="E208" s="4" t="s">
        <v>1868</v>
      </c>
      <c r="F208" s="5">
        <v>1</v>
      </c>
      <c r="G208" s="10">
        <v>5</v>
      </c>
      <c r="H208" s="7">
        <v>490</v>
      </c>
      <c r="I208" s="7">
        <v>530</v>
      </c>
      <c r="J208" s="7">
        <v>550</v>
      </c>
      <c r="K208" s="7">
        <f t="shared" si="11"/>
        <v>2450</v>
      </c>
      <c r="L208" s="7">
        <f t="shared" si="12"/>
        <v>2650</v>
      </c>
      <c r="M208" s="14">
        <f t="shared" si="13"/>
        <v>2750</v>
      </c>
    </row>
    <row r="209" spans="1:13" x14ac:dyDescent="0.35">
      <c r="A209" s="3" t="s">
        <v>419</v>
      </c>
      <c r="B209" s="8" t="s">
        <v>497</v>
      </c>
      <c r="C209" s="3" t="s">
        <v>497</v>
      </c>
      <c r="D209" s="4" t="s">
        <v>500</v>
      </c>
      <c r="E209" s="4" t="s">
        <v>501</v>
      </c>
      <c r="F209" s="5">
        <v>0.43</v>
      </c>
      <c r="G209" s="10">
        <v>5</v>
      </c>
      <c r="H209" s="7">
        <v>87</v>
      </c>
      <c r="I209" s="7">
        <v>100</v>
      </c>
      <c r="J209" s="7">
        <v>100</v>
      </c>
      <c r="K209" s="7">
        <f t="shared" si="11"/>
        <v>435</v>
      </c>
      <c r="L209" s="7">
        <f t="shared" si="12"/>
        <v>500</v>
      </c>
      <c r="M209" s="14">
        <f t="shared" si="13"/>
        <v>500</v>
      </c>
    </row>
    <row r="210" spans="1:13" x14ac:dyDescent="0.35">
      <c r="A210" s="3" t="s">
        <v>419</v>
      </c>
      <c r="B210" s="8" t="s">
        <v>497</v>
      </c>
      <c r="C210" s="3" t="s">
        <v>497</v>
      </c>
      <c r="D210" s="4" t="s">
        <v>502</v>
      </c>
      <c r="E210" s="4" t="s">
        <v>503</v>
      </c>
      <c r="F210" s="5">
        <v>1</v>
      </c>
      <c r="G210" s="10">
        <v>5</v>
      </c>
      <c r="H210" s="7">
        <v>205</v>
      </c>
      <c r="I210" s="7">
        <v>230</v>
      </c>
      <c r="J210" s="7">
        <v>230</v>
      </c>
      <c r="K210" s="7">
        <f t="shared" si="11"/>
        <v>1025</v>
      </c>
      <c r="L210" s="7">
        <f t="shared" si="12"/>
        <v>1150</v>
      </c>
      <c r="M210" s="14">
        <f t="shared" si="13"/>
        <v>1150</v>
      </c>
    </row>
    <row r="211" spans="1:13" x14ac:dyDescent="0.35">
      <c r="A211" s="3" t="s">
        <v>419</v>
      </c>
      <c r="B211" s="8" t="s">
        <v>497</v>
      </c>
      <c r="C211" s="3" t="s">
        <v>497</v>
      </c>
      <c r="D211" s="4" t="s">
        <v>504</v>
      </c>
      <c r="E211" s="4" t="s">
        <v>1869</v>
      </c>
      <c r="F211" s="5">
        <v>0.2</v>
      </c>
      <c r="G211" s="10">
        <v>5</v>
      </c>
      <c r="H211" s="7">
        <v>88</v>
      </c>
      <c r="I211" s="7">
        <v>100</v>
      </c>
      <c r="J211" s="7">
        <v>100</v>
      </c>
      <c r="K211" s="7">
        <f t="shared" si="11"/>
        <v>440</v>
      </c>
      <c r="L211" s="7">
        <f t="shared" si="12"/>
        <v>500</v>
      </c>
      <c r="M211" s="14">
        <f t="shared" si="13"/>
        <v>500</v>
      </c>
    </row>
    <row r="212" spans="1:13" x14ac:dyDescent="0.35">
      <c r="A212" s="3" t="s">
        <v>1411</v>
      </c>
      <c r="B212" s="3" t="s">
        <v>1415</v>
      </c>
      <c r="C212" s="3" t="s">
        <v>1415</v>
      </c>
      <c r="D212" s="4" t="s">
        <v>1427</v>
      </c>
      <c r="E212" s="4" t="s">
        <v>1428</v>
      </c>
      <c r="F212" s="5">
        <v>1</v>
      </c>
      <c r="G212" s="6">
        <v>1</v>
      </c>
      <c r="H212" s="7">
        <v>85</v>
      </c>
      <c r="I212" s="7">
        <v>100</v>
      </c>
      <c r="J212" s="7">
        <v>100</v>
      </c>
      <c r="K212" s="7">
        <f t="shared" si="11"/>
        <v>85</v>
      </c>
      <c r="L212" s="7">
        <f t="shared" si="12"/>
        <v>100</v>
      </c>
      <c r="M212" s="14">
        <f t="shared" si="13"/>
        <v>100</v>
      </c>
    </row>
    <row r="213" spans="1:13" ht="15" customHeight="1" x14ac:dyDescent="0.35">
      <c r="A213" s="3" t="s">
        <v>508</v>
      </c>
      <c r="B213" s="3" t="s">
        <v>509</v>
      </c>
      <c r="C213" s="3" t="s">
        <v>510</v>
      </c>
      <c r="D213" s="4" t="s">
        <v>511</v>
      </c>
      <c r="E213" s="4" t="s">
        <v>512</v>
      </c>
      <c r="F213" s="5">
        <v>0</v>
      </c>
      <c r="G213" s="10">
        <v>9</v>
      </c>
      <c r="H213" s="7">
        <v>40</v>
      </c>
      <c r="I213" s="7">
        <v>50</v>
      </c>
      <c r="J213" s="7">
        <v>50</v>
      </c>
      <c r="K213" s="7">
        <f t="shared" ref="K213:K276" si="14">H213*G213</f>
        <v>360</v>
      </c>
      <c r="L213" s="7">
        <f t="shared" ref="L213:L276" si="15">I213*G213</f>
        <v>450</v>
      </c>
      <c r="M213" s="14">
        <f t="shared" si="13"/>
        <v>450</v>
      </c>
    </row>
    <row r="214" spans="1:13" x14ac:dyDescent="0.35">
      <c r="A214" s="3" t="s">
        <v>508</v>
      </c>
      <c r="B214" s="3" t="s">
        <v>509</v>
      </c>
      <c r="C214" s="3" t="s">
        <v>510</v>
      </c>
      <c r="D214" s="4" t="s">
        <v>513</v>
      </c>
      <c r="E214" s="4" t="s">
        <v>514</v>
      </c>
      <c r="F214" s="5">
        <v>0</v>
      </c>
      <c r="G214" s="10">
        <v>0</v>
      </c>
      <c r="H214" s="7">
        <v>24</v>
      </c>
      <c r="I214" s="7">
        <v>30</v>
      </c>
      <c r="J214" s="7">
        <v>30</v>
      </c>
      <c r="K214" s="7">
        <f t="shared" si="14"/>
        <v>0</v>
      </c>
      <c r="L214" s="7">
        <f t="shared" si="15"/>
        <v>0</v>
      </c>
      <c r="M214" s="14">
        <f t="shared" si="13"/>
        <v>0</v>
      </c>
    </row>
    <row r="215" spans="1:13" x14ac:dyDescent="0.35">
      <c r="A215" s="3" t="s">
        <v>508</v>
      </c>
      <c r="B215" s="3" t="s">
        <v>509</v>
      </c>
      <c r="C215" s="3" t="s">
        <v>510</v>
      </c>
      <c r="D215" s="4" t="s">
        <v>515</v>
      </c>
      <c r="E215" s="4" t="s">
        <v>516</v>
      </c>
      <c r="F215" s="5">
        <v>0</v>
      </c>
      <c r="G215" s="10">
        <v>0</v>
      </c>
      <c r="H215" s="7">
        <v>70</v>
      </c>
      <c r="I215" s="7">
        <v>80</v>
      </c>
      <c r="J215" s="7">
        <v>80</v>
      </c>
      <c r="K215" s="7">
        <f t="shared" si="14"/>
        <v>0</v>
      </c>
      <c r="L215" s="7">
        <f t="shared" si="15"/>
        <v>0</v>
      </c>
      <c r="M215" s="14">
        <f t="shared" si="13"/>
        <v>0</v>
      </c>
    </row>
    <row r="216" spans="1:13" x14ac:dyDescent="0.35">
      <c r="A216" s="3" t="s">
        <v>508</v>
      </c>
      <c r="B216" s="3" t="s">
        <v>509</v>
      </c>
      <c r="C216" s="3" t="s">
        <v>510</v>
      </c>
      <c r="D216" s="4" t="s">
        <v>517</v>
      </c>
      <c r="E216" s="4" t="s">
        <v>518</v>
      </c>
      <c r="F216" s="5">
        <v>0</v>
      </c>
      <c r="G216" s="10">
        <v>12</v>
      </c>
      <c r="H216" s="7">
        <v>52.5</v>
      </c>
      <c r="I216" s="7">
        <v>60</v>
      </c>
      <c r="J216" s="7">
        <v>60</v>
      </c>
      <c r="K216" s="7">
        <f t="shared" si="14"/>
        <v>630</v>
      </c>
      <c r="L216" s="7">
        <f t="shared" si="15"/>
        <v>720</v>
      </c>
      <c r="M216" s="14">
        <f t="shared" si="13"/>
        <v>720</v>
      </c>
    </row>
    <row r="217" spans="1:13" x14ac:dyDescent="0.35">
      <c r="A217" s="3" t="s">
        <v>508</v>
      </c>
      <c r="B217" s="3" t="s">
        <v>509</v>
      </c>
      <c r="C217" s="3" t="s">
        <v>510</v>
      </c>
      <c r="D217" s="4" t="s">
        <v>519</v>
      </c>
      <c r="E217" s="4" t="s">
        <v>520</v>
      </c>
      <c r="F217" s="5">
        <v>0</v>
      </c>
      <c r="G217" s="10">
        <v>5</v>
      </c>
      <c r="H217" s="7">
        <v>81</v>
      </c>
      <c r="I217" s="7">
        <v>90</v>
      </c>
      <c r="J217" s="7">
        <v>100</v>
      </c>
      <c r="K217" s="7">
        <f t="shared" si="14"/>
        <v>405</v>
      </c>
      <c r="L217" s="7">
        <f t="shared" si="15"/>
        <v>450</v>
      </c>
      <c r="M217" s="14">
        <f t="shared" si="13"/>
        <v>500</v>
      </c>
    </row>
    <row r="218" spans="1:13" x14ac:dyDescent="0.35">
      <c r="A218" s="3" t="s">
        <v>508</v>
      </c>
      <c r="B218" s="3" t="s">
        <v>509</v>
      </c>
      <c r="C218" s="3" t="s">
        <v>510</v>
      </c>
      <c r="D218" s="4" t="s">
        <v>521</v>
      </c>
      <c r="E218" s="4" t="s">
        <v>522</v>
      </c>
      <c r="F218" s="5">
        <v>0</v>
      </c>
      <c r="G218" s="10">
        <v>1</v>
      </c>
      <c r="H218" s="7">
        <v>60</v>
      </c>
      <c r="I218" s="7">
        <v>75</v>
      </c>
      <c r="J218" s="7">
        <v>75</v>
      </c>
      <c r="K218" s="7">
        <f t="shared" si="14"/>
        <v>60</v>
      </c>
      <c r="L218" s="7">
        <f t="shared" si="15"/>
        <v>75</v>
      </c>
      <c r="M218" s="14">
        <f t="shared" si="13"/>
        <v>75</v>
      </c>
    </row>
    <row r="219" spans="1:13" x14ac:dyDescent="0.35">
      <c r="A219" s="3" t="s">
        <v>508</v>
      </c>
      <c r="B219" s="3" t="s">
        <v>509</v>
      </c>
      <c r="C219" s="3" t="s">
        <v>510</v>
      </c>
      <c r="D219" s="4" t="s">
        <v>523</v>
      </c>
      <c r="E219" s="4" t="s">
        <v>524</v>
      </c>
      <c r="F219" s="5">
        <v>0</v>
      </c>
      <c r="G219" s="10">
        <v>1</v>
      </c>
      <c r="H219" s="7">
        <v>130</v>
      </c>
      <c r="I219" s="7">
        <v>150</v>
      </c>
      <c r="J219" s="7">
        <v>150</v>
      </c>
      <c r="K219" s="7">
        <f t="shared" si="14"/>
        <v>130</v>
      </c>
      <c r="L219" s="7">
        <f t="shared" si="15"/>
        <v>150</v>
      </c>
      <c r="M219" s="14">
        <f t="shared" si="13"/>
        <v>150</v>
      </c>
    </row>
    <row r="220" spans="1:13" x14ac:dyDescent="0.35">
      <c r="A220" s="3" t="s">
        <v>508</v>
      </c>
      <c r="B220" s="3" t="s">
        <v>509</v>
      </c>
      <c r="C220" s="3" t="s">
        <v>510</v>
      </c>
      <c r="D220" s="4" t="s">
        <v>525</v>
      </c>
      <c r="E220" s="4" t="s">
        <v>526</v>
      </c>
      <c r="F220" s="5">
        <v>0</v>
      </c>
      <c r="G220" s="10">
        <v>6</v>
      </c>
      <c r="H220" s="7">
        <v>100</v>
      </c>
      <c r="I220" s="7">
        <v>120</v>
      </c>
      <c r="J220" s="7">
        <v>150</v>
      </c>
      <c r="K220" s="7">
        <f t="shared" si="14"/>
        <v>600</v>
      </c>
      <c r="L220" s="7">
        <f t="shared" si="15"/>
        <v>720</v>
      </c>
      <c r="M220" s="14">
        <f t="shared" si="13"/>
        <v>900</v>
      </c>
    </row>
    <row r="221" spans="1:13" x14ac:dyDescent="0.35">
      <c r="A221" s="3" t="s">
        <v>508</v>
      </c>
      <c r="B221" s="3" t="s">
        <v>509</v>
      </c>
      <c r="C221" s="3" t="s">
        <v>510</v>
      </c>
      <c r="D221" s="4" t="s">
        <v>527</v>
      </c>
      <c r="E221" s="4" t="s">
        <v>528</v>
      </c>
      <c r="F221" s="5">
        <v>0.2</v>
      </c>
      <c r="G221" s="10">
        <v>1</v>
      </c>
      <c r="H221" s="7">
        <v>330</v>
      </c>
      <c r="I221" s="7">
        <v>450</v>
      </c>
      <c r="J221" s="7">
        <v>499</v>
      </c>
      <c r="K221" s="7">
        <f t="shared" si="14"/>
        <v>330</v>
      </c>
      <c r="L221" s="7">
        <f t="shared" si="15"/>
        <v>450</v>
      </c>
      <c r="M221" s="14">
        <f t="shared" si="13"/>
        <v>499</v>
      </c>
    </row>
    <row r="222" spans="1:13" x14ac:dyDescent="0.35">
      <c r="A222" s="3" t="s">
        <v>529</v>
      </c>
      <c r="B222" s="8" t="s">
        <v>1832</v>
      </c>
      <c r="C222" s="3" t="s">
        <v>545</v>
      </c>
      <c r="D222" s="4" t="s">
        <v>546</v>
      </c>
      <c r="E222" s="4" t="s">
        <v>547</v>
      </c>
      <c r="F222" s="5">
        <v>0</v>
      </c>
      <c r="G222" s="10">
        <v>1</v>
      </c>
      <c r="H222" s="7">
        <v>186.58</v>
      </c>
      <c r="I222" s="7">
        <v>220</v>
      </c>
      <c r="J222" s="7">
        <v>220</v>
      </c>
      <c r="K222" s="7">
        <f t="shared" si="14"/>
        <v>186.58</v>
      </c>
      <c r="L222" s="7">
        <f t="shared" si="15"/>
        <v>220</v>
      </c>
      <c r="M222" s="14">
        <f t="shared" si="13"/>
        <v>220</v>
      </c>
    </row>
    <row r="223" spans="1:13" x14ac:dyDescent="0.35">
      <c r="A223" s="3" t="s">
        <v>529</v>
      </c>
      <c r="B223" s="8" t="s">
        <v>1832</v>
      </c>
      <c r="C223" s="3" t="s">
        <v>545</v>
      </c>
      <c r="D223" s="4" t="s">
        <v>548</v>
      </c>
      <c r="E223" s="4" t="s">
        <v>549</v>
      </c>
      <c r="F223" s="5">
        <v>0.125</v>
      </c>
      <c r="G223" s="10">
        <v>10</v>
      </c>
      <c r="H223" s="7">
        <v>86.81</v>
      </c>
      <c r="I223" s="7">
        <v>98</v>
      </c>
      <c r="J223" s="7">
        <v>100</v>
      </c>
      <c r="K223" s="7">
        <f t="shared" si="14"/>
        <v>868.1</v>
      </c>
      <c r="L223" s="7">
        <f t="shared" si="15"/>
        <v>980</v>
      </c>
      <c r="M223" s="14">
        <f t="shared" si="13"/>
        <v>1000</v>
      </c>
    </row>
    <row r="224" spans="1:13" x14ac:dyDescent="0.35">
      <c r="A224" s="3" t="s">
        <v>529</v>
      </c>
      <c r="B224" s="8" t="s">
        <v>1833</v>
      </c>
      <c r="C224" s="3" t="s">
        <v>592</v>
      </c>
      <c r="D224" s="4" t="s">
        <v>593</v>
      </c>
      <c r="E224" s="4" t="s">
        <v>594</v>
      </c>
      <c r="F224" s="5">
        <v>0.12</v>
      </c>
      <c r="G224" s="6">
        <v>16</v>
      </c>
      <c r="H224" s="7">
        <v>125.29</v>
      </c>
      <c r="I224" s="7">
        <v>135</v>
      </c>
      <c r="J224" s="7">
        <v>140</v>
      </c>
      <c r="K224" s="7">
        <f t="shared" si="14"/>
        <v>2004.64</v>
      </c>
      <c r="L224" s="7">
        <f t="shared" si="15"/>
        <v>2160</v>
      </c>
      <c r="M224" s="14">
        <f t="shared" si="13"/>
        <v>2240</v>
      </c>
    </row>
    <row r="225" spans="1:13" x14ac:dyDescent="0.35">
      <c r="A225" s="3" t="s">
        <v>529</v>
      </c>
      <c r="B225" s="8" t="s">
        <v>1833</v>
      </c>
      <c r="C225" s="3" t="s">
        <v>592</v>
      </c>
      <c r="D225" s="4" t="s">
        <v>595</v>
      </c>
      <c r="E225" s="4" t="s">
        <v>596</v>
      </c>
      <c r="F225" s="5">
        <v>0.12</v>
      </c>
      <c r="G225" s="6">
        <v>2</v>
      </c>
      <c r="H225" s="7">
        <v>126</v>
      </c>
      <c r="I225" s="7">
        <v>140</v>
      </c>
      <c r="J225" s="7">
        <v>140</v>
      </c>
      <c r="K225" s="7">
        <f t="shared" si="14"/>
        <v>252</v>
      </c>
      <c r="L225" s="7">
        <f t="shared" si="15"/>
        <v>280</v>
      </c>
      <c r="M225" s="14">
        <f t="shared" si="13"/>
        <v>280</v>
      </c>
    </row>
    <row r="226" spans="1:13" x14ac:dyDescent="0.35">
      <c r="A226" s="3" t="s">
        <v>529</v>
      </c>
      <c r="B226" s="8" t="s">
        <v>1833</v>
      </c>
      <c r="C226" s="3" t="s">
        <v>592</v>
      </c>
      <c r="D226" s="4" t="s">
        <v>597</v>
      </c>
      <c r="E226" s="4" t="s">
        <v>598</v>
      </c>
      <c r="F226" s="5">
        <v>0.3</v>
      </c>
      <c r="G226" s="6">
        <v>3</v>
      </c>
      <c r="H226" s="7">
        <v>200</v>
      </c>
      <c r="I226" s="7">
        <v>220</v>
      </c>
      <c r="J226" s="7">
        <v>225</v>
      </c>
      <c r="K226" s="7">
        <f t="shared" si="14"/>
        <v>600</v>
      </c>
      <c r="L226" s="7">
        <f t="shared" si="15"/>
        <v>660</v>
      </c>
      <c r="M226" s="14">
        <f t="shared" si="13"/>
        <v>675</v>
      </c>
    </row>
    <row r="227" spans="1:13" x14ac:dyDescent="0.35">
      <c r="A227" s="3" t="s">
        <v>529</v>
      </c>
      <c r="B227" s="8" t="s">
        <v>1833</v>
      </c>
      <c r="C227" s="3" t="s">
        <v>592</v>
      </c>
      <c r="D227" s="4" t="s">
        <v>599</v>
      </c>
      <c r="E227" s="4" t="s">
        <v>600</v>
      </c>
      <c r="F227" s="5">
        <v>0.12</v>
      </c>
      <c r="G227" s="6">
        <v>1</v>
      </c>
      <c r="H227" s="7">
        <v>126</v>
      </c>
      <c r="I227" s="7">
        <v>140</v>
      </c>
      <c r="J227" s="7">
        <v>140</v>
      </c>
      <c r="K227" s="7">
        <f t="shared" si="14"/>
        <v>126</v>
      </c>
      <c r="L227" s="7">
        <f t="shared" si="15"/>
        <v>140</v>
      </c>
      <c r="M227" s="14">
        <f t="shared" si="13"/>
        <v>140</v>
      </c>
    </row>
    <row r="228" spans="1:13" x14ac:dyDescent="0.35">
      <c r="A228" s="3" t="s">
        <v>529</v>
      </c>
      <c r="B228" s="8" t="s">
        <v>1833</v>
      </c>
      <c r="C228" s="3" t="s">
        <v>592</v>
      </c>
      <c r="D228" s="4" t="s">
        <v>601</v>
      </c>
      <c r="E228" s="4" t="s">
        <v>602</v>
      </c>
      <c r="F228" s="5">
        <v>0.3</v>
      </c>
      <c r="G228" s="6">
        <v>3</v>
      </c>
      <c r="H228" s="7">
        <v>180</v>
      </c>
      <c r="I228" s="7">
        <v>195</v>
      </c>
      <c r="J228" s="7">
        <v>199</v>
      </c>
      <c r="K228" s="7">
        <f t="shared" si="14"/>
        <v>540</v>
      </c>
      <c r="L228" s="7">
        <f t="shared" si="15"/>
        <v>585</v>
      </c>
      <c r="M228" s="14">
        <f t="shared" si="13"/>
        <v>597</v>
      </c>
    </row>
    <row r="229" spans="1:13" x14ac:dyDescent="0.35">
      <c r="A229" s="3" t="s">
        <v>529</v>
      </c>
      <c r="B229" s="8" t="s">
        <v>1833</v>
      </c>
      <c r="C229" s="3" t="s">
        <v>603</v>
      </c>
      <c r="D229" s="4" t="s">
        <v>604</v>
      </c>
      <c r="E229" s="4" t="s">
        <v>605</v>
      </c>
      <c r="F229" s="5">
        <v>0.12</v>
      </c>
      <c r="G229" s="6">
        <v>1</v>
      </c>
      <c r="H229" s="7">
        <v>125.33</v>
      </c>
      <c r="I229" s="7">
        <v>135</v>
      </c>
      <c r="J229" s="7">
        <v>140</v>
      </c>
      <c r="K229" s="7">
        <f t="shared" si="14"/>
        <v>125.33</v>
      </c>
      <c r="L229" s="7">
        <f t="shared" si="15"/>
        <v>135</v>
      </c>
      <c r="M229" s="14">
        <f t="shared" si="13"/>
        <v>140</v>
      </c>
    </row>
    <row r="230" spans="1:13" x14ac:dyDescent="0.35">
      <c r="A230" s="3" t="s">
        <v>606</v>
      </c>
      <c r="B230" s="3" t="s">
        <v>607</v>
      </c>
      <c r="C230" s="3" t="s">
        <v>608</v>
      </c>
      <c r="D230" s="4" t="s">
        <v>609</v>
      </c>
      <c r="E230" s="4" t="s">
        <v>610</v>
      </c>
      <c r="F230" s="5">
        <v>1.2E-2</v>
      </c>
      <c r="G230" s="6">
        <v>26</v>
      </c>
      <c r="H230" s="7">
        <v>17.739799999999999</v>
      </c>
      <c r="I230" s="7">
        <v>20</v>
      </c>
      <c r="J230" s="7">
        <v>20</v>
      </c>
      <c r="K230" s="7">
        <f t="shared" si="14"/>
        <v>461.23479999999995</v>
      </c>
      <c r="L230" s="7">
        <f t="shared" si="15"/>
        <v>520</v>
      </c>
      <c r="M230" s="14">
        <f t="shared" si="13"/>
        <v>520</v>
      </c>
    </row>
    <row r="231" spans="1:13" x14ac:dyDescent="0.35">
      <c r="A231" s="3" t="s">
        <v>606</v>
      </c>
      <c r="B231" s="3" t="s">
        <v>607</v>
      </c>
      <c r="C231" s="3" t="s">
        <v>608</v>
      </c>
      <c r="D231" s="4" t="s">
        <v>611</v>
      </c>
      <c r="E231" s="4" t="s">
        <v>612</v>
      </c>
      <c r="F231" s="5">
        <v>0</v>
      </c>
      <c r="G231" s="6">
        <v>33</v>
      </c>
      <c r="H231" s="7">
        <v>19</v>
      </c>
      <c r="I231" s="7">
        <v>20</v>
      </c>
      <c r="J231" s="7">
        <v>20</v>
      </c>
      <c r="K231" s="7">
        <f t="shared" si="14"/>
        <v>627</v>
      </c>
      <c r="L231" s="7">
        <f t="shared" si="15"/>
        <v>660</v>
      </c>
      <c r="M231" s="14">
        <f t="shared" si="13"/>
        <v>660</v>
      </c>
    </row>
    <row r="232" spans="1:13" x14ac:dyDescent="0.35">
      <c r="A232" s="3" t="s">
        <v>606</v>
      </c>
      <c r="B232" s="3" t="s">
        <v>607</v>
      </c>
      <c r="C232" s="3" t="s">
        <v>608</v>
      </c>
      <c r="D232" s="4" t="s">
        <v>613</v>
      </c>
      <c r="E232" s="4" t="s">
        <v>614</v>
      </c>
      <c r="F232" s="5">
        <v>0</v>
      </c>
      <c r="G232" s="6">
        <v>8</v>
      </c>
      <c r="H232" s="7">
        <v>19</v>
      </c>
      <c r="I232" s="7">
        <v>20</v>
      </c>
      <c r="J232" s="7">
        <v>20</v>
      </c>
      <c r="K232" s="7">
        <f t="shared" si="14"/>
        <v>152</v>
      </c>
      <c r="L232" s="7">
        <f t="shared" si="15"/>
        <v>160</v>
      </c>
      <c r="M232" s="14">
        <f t="shared" si="13"/>
        <v>160</v>
      </c>
    </row>
    <row r="233" spans="1:13" x14ac:dyDescent="0.35">
      <c r="A233" s="3" t="s">
        <v>606</v>
      </c>
      <c r="B233" s="3" t="s">
        <v>607</v>
      </c>
      <c r="C233" s="3" t="s">
        <v>608</v>
      </c>
      <c r="D233" s="4" t="s">
        <v>615</v>
      </c>
      <c r="E233" s="4" t="s">
        <v>616</v>
      </c>
      <c r="F233" s="5">
        <v>0</v>
      </c>
      <c r="G233" s="6">
        <v>3</v>
      </c>
      <c r="H233" s="7">
        <v>19</v>
      </c>
      <c r="I233" s="7">
        <v>20</v>
      </c>
      <c r="J233" s="7">
        <v>20</v>
      </c>
      <c r="K233" s="7">
        <f t="shared" si="14"/>
        <v>57</v>
      </c>
      <c r="L233" s="7">
        <f t="shared" si="15"/>
        <v>60</v>
      </c>
      <c r="M233" s="14">
        <f t="shared" si="13"/>
        <v>60</v>
      </c>
    </row>
    <row r="234" spans="1:13" x14ac:dyDescent="0.35">
      <c r="A234" s="3" t="s">
        <v>606</v>
      </c>
      <c r="B234" s="3" t="s">
        <v>607</v>
      </c>
      <c r="C234" s="3" t="s">
        <v>608</v>
      </c>
      <c r="D234" s="4" t="s">
        <v>617</v>
      </c>
      <c r="E234" s="4" t="s">
        <v>618</v>
      </c>
      <c r="F234" s="5">
        <v>0</v>
      </c>
      <c r="G234" s="6">
        <v>4</v>
      </c>
      <c r="H234" s="7">
        <v>47</v>
      </c>
      <c r="I234" s="7">
        <v>50</v>
      </c>
      <c r="J234" s="7">
        <v>50</v>
      </c>
      <c r="K234" s="7">
        <f t="shared" si="14"/>
        <v>188</v>
      </c>
      <c r="L234" s="7">
        <f t="shared" si="15"/>
        <v>200</v>
      </c>
      <c r="M234" s="14">
        <f t="shared" si="13"/>
        <v>200</v>
      </c>
    </row>
    <row r="235" spans="1:13" x14ac:dyDescent="0.35">
      <c r="A235" s="3" t="s">
        <v>606</v>
      </c>
      <c r="B235" s="3" t="s">
        <v>607</v>
      </c>
      <c r="C235" s="3" t="s">
        <v>608</v>
      </c>
      <c r="D235" s="4" t="s">
        <v>619</v>
      </c>
      <c r="E235" s="4" t="s">
        <v>620</v>
      </c>
      <c r="F235" s="5">
        <v>0</v>
      </c>
      <c r="G235" s="6">
        <v>5</v>
      </c>
      <c r="H235" s="7">
        <v>47</v>
      </c>
      <c r="I235" s="7">
        <v>50</v>
      </c>
      <c r="J235" s="7">
        <v>50</v>
      </c>
      <c r="K235" s="7">
        <f t="shared" si="14"/>
        <v>235</v>
      </c>
      <c r="L235" s="7">
        <f t="shared" si="15"/>
        <v>250</v>
      </c>
      <c r="M235" s="14">
        <f t="shared" si="13"/>
        <v>250</v>
      </c>
    </row>
    <row r="236" spans="1:13" x14ac:dyDescent="0.35">
      <c r="A236" s="3" t="s">
        <v>606</v>
      </c>
      <c r="B236" s="3" t="s">
        <v>607</v>
      </c>
      <c r="C236" s="3" t="s">
        <v>608</v>
      </c>
      <c r="D236" s="4" t="s">
        <v>621</v>
      </c>
      <c r="E236" s="4" t="s">
        <v>622</v>
      </c>
      <c r="F236" s="5">
        <v>0</v>
      </c>
      <c r="G236" s="6">
        <v>1</v>
      </c>
      <c r="H236" s="7">
        <v>47</v>
      </c>
      <c r="I236" s="7">
        <v>50</v>
      </c>
      <c r="J236" s="7">
        <v>50</v>
      </c>
      <c r="K236" s="7">
        <f t="shared" si="14"/>
        <v>47</v>
      </c>
      <c r="L236" s="7">
        <f t="shared" si="15"/>
        <v>50</v>
      </c>
      <c r="M236" s="14">
        <f t="shared" si="13"/>
        <v>50</v>
      </c>
    </row>
    <row r="237" spans="1:13" x14ac:dyDescent="0.35">
      <c r="A237" s="3" t="s">
        <v>606</v>
      </c>
      <c r="B237" s="3" t="s">
        <v>607</v>
      </c>
      <c r="C237" s="3" t="s">
        <v>608</v>
      </c>
      <c r="D237" s="4" t="s">
        <v>623</v>
      </c>
      <c r="E237" s="4" t="s">
        <v>624</v>
      </c>
      <c r="F237" s="5">
        <v>0</v>
      </c>
      <c r="G237" s="6">
        <v>1</v>
      </c>
      <c r="H237" s="7">
        <v>66</v>
      </c>
      <c r="I237" s="7">
        <v>70</v>
      </c>
      <c r="J237" s="7">
        <v>70</v>
      </c>
      <c r="K237" s="7">
        <f t="shared" si="14"/>
        <v>66</v>
      </c>
      <c r="L237" s="7">
        <f t="shared" si="15"/>
        <v>70</v>
      </c>
      <c r="M237" s="14">
        <f t="shared" si="13"/>
        <v>70</v>
      </c>
    </row>
    <row r="238" spans="1:13" x14ac:dyDescent="0.35">
      <c r="A238" s="3" t="s">
        <v>625</v>
      </c>
      <c r="B238" s="3" t="s">
        <v>627</v>
      </c>
      <c r="C238" s="3" t="s">
        <v>627</v>
      </c>
      <c r="D238" s="4" t="s">
        <v>628</v>
      </c>
      <c r="E238" s="4" t="s">
        <v>629</v>
      </c>
      <c r="F238" s="5">
        <v>1</v>
      </c>
      <c r="G238" s="6">
        <v>9</v>
      </c>
      <c r="H238" s="7">
        <v>570</v>
      </c>
      <c r="I238" s="7">
        <v>590</v>
      </c>
      <c r="J238" s="7">
        <v>590</v>
      </c>
      <c r="K238" s="7">
        <f t="shared" si="14"/>
        <v>5130</v>
      </c>
      <c r="L238" s="7">
        <f t="shared" si="15"/>
        <v>5310</v>
      </c>
      <c r="M238" s="14">
        <f t="shared" si="13"/>
        <v>5310</v>
      </c>
    </row>
    <row r="239" spans="1:13" ht="15" customHeight="1" x14ac:dyDescent="0.35">
      <c r="A239" s="3" t="s">
        <v>625</v>
      </c>
      <c r="B239" s="8" t="s">
        <v>1834</v>
      </c>
      <c r="C239" s="3" t="s">
        <v>630</v>
      </c>
      <c r="D239" s="4" t="s">
        <v>631</v>
      </c>
      <c r="E239" s="4" t="s">
        <v>632</v>
      </c>
      <c r="F239" s="5">
        <v>0</v>
      </c>
      <c r="G239" s="6">
        <v>0</v>
      </c>
      <c r="H239" s="7">
        <v>200</v>
      </c>
      <c r="I239" s="7">
        <v>220</v>
      </c>
      <c r="J239" s="7">
        <v>220</v>
      </c>
      <c r="K239" s="7">
        <f t="shared" si="14"/>
        <v>0</v>
      </c>
      <c r="L239" s="7">
        <f t="shared" si="15"/>
        <v>0</v>
      </c>
      <c r="M239" s="14">
        <f t="shared" si="13"/>
        <v>0</v>
      </c>
    </row>
    <row r="240" spans="1:13" x14ac:dyDescent="0.35">
      <c r="A240" s="3" t="s">
        <v>625</v>
      </c>
      <c r="B240" s="8" t="s">
        <v>1834</v>
      </c>
      <c r="C240" s="3" t="s">
        <v>630</v>
      </c>
      <c r="D240" s="4" t="s">
        <v>633</v>
      </c>
      <c r="E240" s="4" t="s">
        <v>634</v>
      </c>
      <c r="F240" s="5">
        <v>0.8</v>
      </c>
      <c r="G240" s="6">
        <v>15</v>
      </c>
      <c r="H240" s="7">
        <v>69.67</v>
      </c>
      <c r="I240" s="7">
        <v>90</v>
      </c>
      <c r="J240" s="7">
        <v>90</v>
      </c>
      <c r="K240" s="7">
        <f t="shared" si="14"/>
        <v>1045.05</v>
      </c>
      <c r="L240" s="7">
        <f t="shared" si="15"/>
        <v>1350</v>
      </c>
      <c r="M240" s="14">
        <f t="shared" si="13"/>
        <v>1350</v>
      </c>
    </row>
    <row r="241" spans="1:13" x14ac:dyDescent="0.35">
      <c r="A241" s="3" t="s">
        <v>625</v>
      </c>
      <c r="B241" s="8" t="s">
        <v>1834</v>
      </c>
      <c r="C241" s="3" t="s">
        <v>630</v>
      </c>
      <c r="D241" s="4" t="s">
        <v>635</v>
      </c>
      <c r="E241" s="4" t="s">
        <v>636</v>
      </c>
      <c r="F241" s="5">
        <v>1</v>
      </c>
      <c r="G241" s="6">
        <v>35</v>
      </c>
      <c r="H241" s="7">
        <v>530</v>
      </c>
      <c r="I241" s="7">
        <v>540</v>
      </c>
      <c r="J241" s="7">
        <v>540</v>
      </c>
      <c r="K241" s="7">
        <f t="shared" si="14"/>
        <v>18550</v>
      </c>
      <c r="L241" s="7">
        <f t="shared" si="15"/>
        <v>18900</v>
      </c>
      <c r="M241" s="14">
        <f t="shared" si="13"/>
        <v>18900</v>
      </c>
    </row>
    <row r="242" spans="1:13" x14ac:dyDescent="0.35">
      <c r="A242" s="3" t="s">
        <v>625</v>
      </c>
      <c r="B242" s="8" t="s">
        <v>1834</v>
      </c>
      <c r="C242" s="3" t="s">
        <v>630</v>
      </c>
      <c r="D242" s="4" t="s">
        <v>637</v>
      </c>
      <c r="E242" s="4" t="s">
        <v>638</v>
      </c>
      <c r="F242" s="5">
        <v>0.5</v>
      </c>
      <c r="G242" s="6">
        <v>20</v>
      </c>
      <c r="H242" s="7">
        <v>260</v>
      </c>
      <c r="I242" s="7">
        <v>270</v>
      </c>
      <c r="J242" s="7">
        <v>270</v>
      </c>
      <c r="K242" s="7">
        <f t="shared" si="14"/>
        <v>5200</v>
      </c>
      <c r="L242" s="7">
        <f t="shared" si="15"/>
        <v>5400</v>
      </c>
      <c r="M242" s="14">
        <f t="shared" si="13"/>
        <v>5400</v>
      </c>
    </row>
    <row r="243" spans="1:13" x14ac:dyDescent="0.35">
      <c r="A243" s="3" t="s">
        <v>625</v>
      </c>
      <c r="B243" s="8" t="s">
        <v>1834</v>
      </c>
      <c r="C243" s="3" t="s">
        <v>630</v>
      </c>
      <c r="D243" s="4" t="s">
        <v>639</v>
      </c>
      <c r="E243" s="4" t="s">
        <v>640</v>
      </c>
      <c r="F243" s="5">
        <v>0.25</v>
      </c>
      <c r="G243" s="6">
        <v>10</v>
      </c>
      <c r="H243" s="7">
        <v>126.75</v>
      </c>
      <c r="I243" s="7">
        <v>135</v>
      </c>
      <c r="J243" s="7">
        <v>135</v>
      </c>
      <c r="K243" s="7">
        <f t="shared" si="14"/>
        <v>1267.5</v>
      </c>
      <c r="L243" s="7">
        <f t="shared" si="15"/>
        <v>1350</v>
      </c>
      <c r="M243" s="14">
        <f t="shared" si="13"/>
        <v>1350</v>
      </c>
    </row>
    <row r="244" spans="1:13" x14ac:dyDescent="0.35">
      <c r="A244" s="3" t="s">
        <v>625</v>
      </c>
      <c r="B244" s="8" t="s">
        <v>1834</v>
      </c>
      <c r="C244" s="3" t="s">
        <v>641</v>
      </c>
      <c r="D244" s="4" t="s">
        <v>642</v>
      </c>
      <c r="E244" s="4" t="s">
        <v>643</v>
      </c>
      <c r="F244" s="5">
        <v>0.25</v>
      </c>
      <c r="G244" s="6">
        <v>20</v>
      </c>
      <c r="H244" s="7">
        <v>132.91999999999999</v>
      </c>
      <c r="I244" s="7">
        <v>150</v>
      </c>
      <c r="J244" s="7">
        <v>150</v>
      </c>
      <c r="K244" s="7">
        <f t="shared" si="14"/>
        <v>2658.3999999999996</v>
      </c>
      <c r="L244" s="7">
        <f t="shared" si="15"/>
        <v>3000</v>
      </c>
      <c r="M244" s="14">
        <f t="shared" si="13"/>
        <v>3000</v>
      </c>
    </row>
    <row r="245" spans="1:13" x14ac:dyDescent="0.35">
      <c r="A245" s="3" t="s">
        <v>625</v>
      </c>
      <c r="B245" s="8" t="s">
        <v>1834</v>
      </c>
      <c r="C245" s="3" t="s">
        <v>641</v>
      </c>
      <c r="D245" s="4" t="s">
        <v>644</v>
      </c>
      <c r="E245" s="4" t="s">
        <v>645</v>
      </c>
      <c r="F245" s="5">
        <v>0.125</v>
      </c>
      <c r="G245" s="6">
        <v>20</v>
      </c>
      <c r="H245" s="7">
        <v>70</v>
      </c>
      <c r="I245" s="7">
        <v>80</v>
      </c>
      <c r="J245" s="7">
        <v>80</v>
      </c>
      <c r="K245" s="7">
        <f t="shared" si="14"/>
        <v>1400</v>
      </c>
      <c r="L245" s="7">
        <f t="shared" si="15"/>
        <v>1600</v>
      </c>
      <c r="M245" s="14">
        <f t="shared" si="13"/>
        <v>1600</v>
      </c>
    </row>
    <row r="246" spans="1:13" x14ac:dyDescent="0.35">
      <c r="A246" s="3" t="s">
        <v>625</v>
      </c>
      <c r="B246" s="8" t="s">
        <v>1834</v>
      </c>
      <c r="C246" s="3" t="s">
        <v>641</v>
      </c>
      <c r="D246" s="4" t="s">
        <v>646</v>
      </c>
      <c r="E246" s="4" t="s">
        <v>647</v>
      </c>
      <c r="F246" s="5">
        <v>1</v>
      </c>
      <c r="G246" s="6">
        <v>0</v>
      </c>
      <c r="H246" s="7">
        <v>453</v>
      </c>
      <c r="I246" s="7">
        <v>480</v>
      </c>
      <c r="J246" s="7">
        <v>480</v>
      </c>
      <c r="K246" s="7">
        <f t="shared" si="14"/>
        <v>0</v>
      </c>
      <c r="L246" s="7">
        <f t="shared" si="15"/>
        <v>0</v>
      </c>
      <c r="M246" s="14">
        <f t="shared" si="13"/>
        <v>0</v>
      </c>
    </row>
    <row r="247" spans="1:13" x14ac:dyDescent="0.35">
      <c r="A247" s="3" t="s">
        <v>625</v>
      </c>
      <c r="B247" s="8" t="s">
        <v>1834</v>
      </c>
      <c r="C247" s="3" t="s">
        <v>641</v>
      </c>
      <c r="D247" s="4" t="s">
        <v>648</v>
      </c>
      <c r="E247" s="4" t="s">
        <v>649</v>
      </c>
      <c r="F247" s="5">
        <v>1</v>
      </c>
      <c r="G247" s="6">
        <v>50</v>
      </c>
      <c r="H247" s="7">
        <v>540</v>
      </c>
      <c r="I247" s="7">
        <v>550</v>
      </c>
      <c r="J247" s="7">
        <v>550</v>
      </c>
      <c r="K247" s="7">
        <f t="shared" si="14"/>
        <v>27000</v>
      </c>
      <c r="L247" s="7">
        <f t="shared" si="15"/>
        <v>27500</v>
      </c>
      <c r="M247" s="14">
        <f t="shared" si="13"/>
        <v>27500</v>
      </c>
    </row>
    <row r="248" spans="1:13" ht="21" x14ac:dyDescent="0.35">
      <c r="A248" s="3" t="s">
        <v>650</v>
      </c>
      <c r="B248" s="3" t="s">
        <v>651</v>
      </c>
      <c r="C248" s="3" t="s">
        <v>652</v>
      </c>
      <c r="D248" s="4" t="s">
        <v>653</v>
      </c>
      <c r="E248" s="4" t="s">
        <v>654</v>
      </c>
      <c r="F248" s="5">
        <v>0</v>
      </c>
      <c r="G248" s="6">
        <v>1</v>
      </c>
      <c r="H248" s="7">
        <v>38.950000000000003</v>
      </c>
      <c r="I248" s="7">
        <v>100</v>
      </c>
      <c r="J248" s="7">
        <v>100</v>
      </c>
      <c r="K248" s="7">
        <f t="shared" si="14"/>
        <v>38.950000000000003</v>
      </c>
      <c r="L248" s="7">
        <f t="shared" si="15"/>
        <v>100</v>
      </c>
      <c r="M248" s="14">
        <f t="shared" si="13"/>
        <v>100</v>
      </c>
    </row>
    <row r="249" spans="1:13" ht="21" x14ac:dyDescent="0.35">
      <c r="A249" s="3" t="s">
        <v>650</v>
      </c>
      <c r="B249" s="3" t="s">
        <v>651</v>
      </c>
      <c r="C249" s="3" t="s">
        <v>655</v>
      </c>
      <c r="D249" s="4" t="s">
        <v>656</v>
      </c>
      <c r="E249" s="4" t="s">
        <v>657</v>
      </c>
      <c r="F249" s="5">
        <v>0</v>
      </c>
      <c r="G249" s="6">
        <v>0</v>
      </c>
      <c r="H249" s="7">
        <v>38.950000000000003</v>
      </c>
      <c r="I249" s="7">
        <v>50</v>
      </c>
      <c r="J249" s="7">
        <v>50</v>
      </c>
      <c r="K249" s="7">
        <f t="shared" si="14"/>
        <v>0</v>
      </c>
      <c r="L249" s="7">
        <f t="shared" si="15"/>
        <v>0</v>
      </c>
      <c r="M249" s="14">
        <f t="shared" si="13"/>
        <v>0</v>
      </c>
    </row>
    <row r="250" spans="1:13" ht="21" x14ac:dyDescent="0.35">
      <c r="A250" s="3" t="s">
        <v>650</v>
      </c>
      <c r="B250" s="3" t="s">
        <v>651</v>
      </c>
      <c r="C250" s="3" t="s">
        <v>658</v>
      </c>
      <c r="D250" s="4" t="s">
        <v>659</v>
      </c>
      <c r="E250" s="4" t="s">
        <v>660</v>
      </c>
      <c r="F250" s="5">
        <v>0</v>
      </c>
      <c r="G250" s="6">
        <v>10</v>
      </c>
      <c r="H250" s="7">
        <v>15.440799999999999</v>
      </c>
      <c r="I250" s="7">
        <v>20</v>
      </c>
      <c r="J250" s="7">
        <v>20</v>
      </c>
      <c r="K250" s="7">
        <f t="shared" si="14"/>
        <v>154.40799999999999</v>
      </c>
      <c r="L250" s="7">
        <f t="shared" si="15"/>
        <v>200</v>
      </c>
      <c r="M250" s="14">
        <f t="shared" si="13"/>
        <v>200</v>
      </c>
    </row>
    <row r="251" spans="1:13" ht="21" x14ac:dyDescent="0.35">
      <c r="A251" s="3" t="s">
        <v>650</v>
      </c>
      <c r="B251" s="3" t="s">
        <v>651</v>
      </c>
      <c r="C251" s="3" t="s">
        <v>661</v>
      </c>
      <c r="D251" s="4" t="s">
        <v>662</v>
      </c>
      <c r="E251" s="4" t="s">
        <v>663</v>
      </c>
      <c r="F251" s="5">
        <v>0</v>
      </c>
      <c r="G251" s="6">
        <v>10</v>
      </c>
      <c r="H251" s="7">
        <v>15.441000000000001</v>
      </c>
      <c r="I251" s="7">
        <v>20</v>
      </c>
      <c r="J251" s="7">
        <v>20</v>
      </c>
      <c r="K251" s="7">
        <f t="shared" si="14"/>
        <v>154.41</v>
      </c>
      <c r="L251" s="7">
        <f t="shared" si="15"/>
        <v>200</v>
      </c>
      <c r="M251" s="14">
        <f t="shared" si="13"/>
        <v>200</v>
      </c>
    </row>
    <row r="252" spans="1:13" ht="21" x14ac:dyDescent="0.35">
      <c r="A252" s="3" t="s">
        <v>650</v>
      </c>
      <c r="B252" s="3" t="s">
        <v>651</v>
      </c>
      <c r="C252" s="3" t="s">
        <v>664</v>
      </c>
      <c r="D252" s="4" t="s">
        <v>665</v>
      </c>
      <c r="E252" s="4" t="s">
        <v>666</v>
      </c>
      <c r="F252" s="5">
        <v>0</v>
      </c>
      <c r="G252" s="6">
        <v>0</v>
      </c>
      <c r="H252" s="7">
        <v>4.0877999999999997</v>
      </c>
      <c r="I252" s="7">
        <v>5</v>
      </c>
      <c r="J252" s="7">
        <v>5</v>
      </c>
      <c r="K252" s="7">
        <f t="shared" si="14"/>
        <v>0</v>
      </c>
      <c r="L252" s="7">
        <f t="shared" si="15"/>
        <v>0</v>
      </c>
      <c r="M252" s="14">
        <f t="shared" si="13"/>
        <v>0</v>
      </c>
    </row>
    <row r="253" spans="1:13" ht="21" x14ac:dyDescent="0.35">
      <c r="A253" s="3" t="s">
        <v>650</v>
      </c>
      <c r="B253" s="3" t="s">
        <v>651</v>
      </c>
      <c r="C253" s="3" t="s">
        <v>667</v>
      </c>
      <c r="D253" s="4" t="s">
        <v>668</v>
      </c>
      <c r="E253" s="4" t="s">
        <v>669</v>
      </c>
      <c r="F253" s="5">
        <v>0</v>
      </c>
      <c r="G253" s="6">
        <v>0</v>
      </c>
      <c r="H253" s="7">
        <v>2.7252000000000001</v>
      </c>
      <c r="I253" s="7">
        <v>5</v>
      </c>
      <c r="J253" s="7">
        <v>5</v>
      </c>
      <c r="K253" s="7">
        <f t="shared" si="14"/>
        <v>0</v>
      </c>
      <c r="L253" s="7">
        <f t="shared" si="15"/>
        <v>0</v>
      </c>
      <c r="M253" s="14">
        <f t="shared" si="13"/>
        <v>0</v>
      </c>
    </row>
    <row r="254" spans="1:13" ht="21" x14ac:dyDescent="0.35">
      <c r="A254" s="3" t="s">
        <v>650</v>
      </c>
      <c r="B254" s="3" t="s">
        <v>651</v>
      </c>
      <c r="C254" s="3" t="s">
        <v>670</v>
      </c>
      <c r="D254" s="4" t="s">
        <v>671</v>
      </c>
      <c r="E254" s="4" t="s">
        <v>672</v>
      </c>
      <c r="F254" s="5">
        <v>0</v>
      </c>
      <c r="G254" s="6">
        <v>0</v>
      </c>
      <c r="H254" s="7">
        <v>4.0877999999999997</v>
      </c>
      <c r="I254" s="7">
        <v>5</v>
      </c>
      <c r="J254" s="7">
        <v>5</v>
      </c>
      <c r="K254" s="7">
        <f t="shared" si="14"/>
        <v>0</v>
      </c>
      <c r="L254" s="7">
        <f t="shared" si="15"/>
        <v>0</v>
      </c>
      <c r="M254" s="14">
        <f t="shared" si="13"/>
        <v>0</v>
      </c>
    </row>
    <row r="255" spans="1:13" ht="21" x14ac:dyDescent="0.35">
      <c r="A255" s="3" t="s">
        <v>650</v>
      </c>
      <c r="B255" s="3" t="s">
        <v>651</v>
      </c>
      <c r="C255" s="3" t="s">
        <v>673</v>
      </c>
      <c r="D255" s="4" t="s">
        <v>674</v>
      </c>
      <c r="E255" s="4" t="s">
        <v>675</v>
      </c>
      <c r="F255" s="5">
        <v>0</v>
      </c>
      <c r="G255" s="6">
        <v>0</v>
      </c>
      <c r="H255" s="7">
        <v>6.1317000000000004</v>
      </c>
      <c r="I255" s="7">
        <v>5</v>
      </c>
      <c r="J255" s="7">
        <v>5</v>
      </c>
      <c r="K255" s="7">
        <f t="shared" si="14"/>
        <v>0</v>
      </c>
      <c r="L255" s="7">
        <f t="shared" si="15"/>
        <v>0</v>
      </c>
      <c r="M255" s="14">
        <f t="shared" si="13"/>
        <v>0</v>
      </c>
    </row>
    <row r="256" spans="1:13" ht="21" x14ac:dyDescent="0.35">
      <c r="A256" s="3" t="s">
        <v>650</v>
      </c>
      <c r="B256" s="3" t="s">
        <v>651</v>
      </c>
      <c r="C256" s="3" t="s">
        <v>676</v>
      </c>
      <c r="D256" s="4" t="s">
        <v>677</v>
      </c>
      <c r="E256" s="4" t="s">
        <v>678</v>
      </c>
      <c r="F256" s="5">
        <v>0</v>
      </c>
      <c r="G256" s="6">
        <v>1</v>
      </c>
      <c r="H256" s="7">
        <v>75.05</v>
      </c>
      <c r="I256" s="7">
        <v>100</v>
      </c>
      <c r="J256" s="7">
        <v>100</v>
      </c>
      <c r="K256" s="7">
        <f t="shared" si="14"/>
        <v>75.05</v>
      </c>
      <c r="L256" s="7">
        <f t="shared" si="15"/>
        <v>100</v>
      </c>
      <c r="M256" s="14">
        <f t="shared" si="13"/>
        <v>100</v>
      </c>
    </row>
    <row r="257" spans="1:13" ht="21" x14ac:dyDescent="0.35">
      <c r="A257" s="3" t="s">
        <v>650</v>
      </c>
      <c r="B257" s="3" t="s">
        <v>651</v>
      </c>
      <c r="C257" s="3" t="s">
        <v>679</v>
      </c>
      <c r="D257" s="4" t="s">
        <v>680</v>
      </c>
      <c r="E257" s="4" t="s">
        <v>681</v>
      </c>
      <c r="F257" s="5">
        <v>0</v>
      </c>
      <c r="G257" s="6">
        <v>0</v>
      </c>
      <c r="H257" s="7">
        <v>75.05</v>
      </c>
      <c r="I257" s="7">
        <v>95</v>
      </c>
      <c r="J257" s="7">
        <v>95</v>
      </c>
      <c r="K257" s="7">
        <f t="shared" si="14"/>
        <v>0</v>
      </c>
      <c r="L257" s="7">
        <f t="shared" si="15"/>
        <v>0</v>
      </c>
      <c r="M257" s="14">
        <f t="shared" si="13"/>
        <v>0</v>
      </c>
    </row>
    <row r="258" spans="1:13" ht="21" x14ac:dyDescent="0.35">
      <c r="A258" s="3" t="s">
        <v>650</v>
      </c>
      <c r="B258" s="3" t="s">
        <v>651</v>
      </c>
      <c r="C258" s="3" t="s">
        <v>682</v>
      </c>
      <c r="D258" s="4" t="s">
        <v>683</v>
      </c>
      <c r="E258" s="4" t="s">
        <v>684</v>
      </c>
      <c r="F258" s="5">
        <v>0</v>
      </c>
      <c r="G258" s="6">
        <v>0</v>
      </c>
      <c r="H258" s="7">
        <v>75.05</v>
      </c>
      <c r="I258" s="7">
        <v>95</v>
      </c>
      <c r="J258" s="7">
        <v>95</v>
      </c>
      <c r="K258" s="7">
        <f t="shared" si="14"/>
        <v>0</v>
      </c>
      <c r="L258" s="7">
        <f t="shared" si="15"/>
        <v>0</v>
      </c>
      <c r="M258" s="14">
        <f t="shared" si="13"/>
        <v>0</v>
      </c>
    </row>
    <row r="259" spans="1:13" ht="21" x14ac:dyDescent="0.35">
      <c r="A259" s="3" t="s">
        <v>650</v>
      </c>
      <c r="B259" s="3" t="s">
        <v>651</v>
      </c>
      <c r="C259" s="3" t="s">
        <v>685</v>
      </c>
      <c r="D259" s="4" t="s">
        <v>686</v>
      </c>
      <c r="E259" s="4" t="s">
        <v>687</v>
      </c>
      <c r="F259" s="5">
        <v>0</v>
      </c>
      <c r="G259" s="6">
        <v>0</v>
      </c>
      <c r="H259" s="7">
        <v>75.05</v>
      </c>
      <c r="I259" s="7">
        <v>95</v>
      </c>
      <c r="J259" s="7">
        <v>95</v>
      </c>
      <c r="K259" s="7">
        <f t="shared" si="14"/>
        <v>0</v>
      </c>
      <c r="L259" s="7">
        <f t="shared" si="15"/>
        <v>0</v>
      </c>
      <c r="M259" s="14">
        <f t="shared" si="13"/>
        <v>0</v>
      </c>
    </row>
    <row r="260" spans="1:13" ht="21" x14ac:dyDescent="0.35">
      <c r="A260" s="3" t="s">
        <v>650</v>
      </c>
      <c r="B260" s="3" t="s">
        <v>651</v>
      </c>
      <c r="C260" s="3" t="s">
        <v>688</v>
      </c>
      <c r="D260" s="4" t="s">
        <v>689</v>
      </c>
      <c r="E260" s="4" t="s">
        <v>690</v>
      </c>
      <c r="F260" s="5">
        <v>0</v>
      </c>
      <c r="G260" s="6">
        <v>0</v>
      </c>
      <c r="H260" s="7">
        <v>176</v>
      </c>
      <c r="I260" s="7">
        <v>200</v>
      </c>
      <c r="J260" s="7">
        <v>200</v>
      </c>
      <c r="K260" s="7">
        <f t="shared" si="14"/>
        <v>0</v>
      </c>
      <c r="L260" s="7">
        <f t="shared" si="15"/>
        <v>0</v>
      </c>
      <c r="M260" s="14">
        <f t="shared" si="13"/>
        <v>0</v>
      </c>
    </row>
    <row r="261" spans="1:13" x14ac:dyDescent="0.35">
      <c r="A261" s="3" t="s">
        <v>705</v>
      </c>
      <c r="B261" s="3" t="s">
        <v>1859</v>
      </c>
      <c r="C261" s="3" t="s">
        <v>706</v>
      </c>
      <c r="D261" s="4" t="s">
        <v>707</v>
      </c>
      <c r="E261" s="4" t="s">
        <v>708</v>
      </c>
      <c r="F261" s="5">
        <v>0.125</v>
      </c>
      <c r="G261" s="10">
        <v>1</v>
      </c>
      <c r="H261" s="7">
        <v>81.849999999999994</v>
      </c>
      <c r="I261" s="7">
        <v>90</v>
      </c>
      <c r="J261" s="7">
        <v>90</v>
      </c>
      <c r="K261" s="7">
        <f t="shared" si="14"/>
        <v>81.849999999999994</v>
      </c>
      <c r="L261" s="7">
        <f t="shared" si="15"/>
        <v>90</v>
      </c>
      <c r="M261" s="14">
        <f t="shared" si="13"/>
        <v>90</v>
      </c>
    </row>
    <row r="262" spans="1:13" x14ac:dyDescent="0.35">
      <c r="A262" s="3" t="s">
        <v>705</v>
      </c>
      <c r="B262" s="3" t="s">
        <v>1859</v>
      </c>
      <c r="C262" s="3" t="s">
        <v>706</v>
      </c>
      <c r="D262" s="4" t="s">
        <v>709</v>
      </c>
      <c r="E262" s="4" t="s">
        <v>710</v>
      </c>
      <c r="F262" s="5">
        <v>7.0000000000000007E-2</v>
      </c>
      <c r="G262" s="10">
        <v>6</v>
      </c>
      <c r="H262" s="7">
        <v>59.098999999999997</v>
      </c>
      <c r="I262" s="7">
        <v>65</v>
      </c>
      <c r="J262" s="7">
        <v>65</v>
      </c>
      <c r="K262" s="7">
        <f t="shared" si="14"/>
        <v>354.59399999999999</v>
      </c>
      <c r="L262" s="7">
        <f t="shared" si="15"/>
        <v>390</v>
      </c>
      <c r="M262" s="14">
        <f t="shared" si="13"/>
        <v>390</v>
      </c>
    </row>
    <row r="263" spans="1:13" ht="15" customHeight="1" x14ac:dyDescent="0.35">
      <c r="A263" s="3" t="s">
        <v>705</v>
      </c>
      <c r="B263" s="8" t="s">
        <v>651</v>
      </c>
      <c r="C263" s="3" t="s">
        <v>727</v>
      </c>
      <c r="D263" s="4" t="s">
        <v>728</v>
      </c>
      <c r="E263" s="4" t="s">
        <v>729</v>
      </c>
      <c r="F263" s="5">
        <v>0</v>
      </c>
      <c r="G263" s="6">
        <v>60</v>
      </c>
      <c r="H263" s="7">
        <v>24.29</v>
      </c>
      <c r="I263" s="7">
        <v>30</v>
      </c>
      <c r="J263" s="7">
        <v>30</v>
      </c>
      <c r="K263" s="7">
        <f t="shared" si="14"/>
        <v>1457.3999999999999</v>
      </c>
      <c r="L263" s="7">
        <f t="shared" si="15"/>
        <v>1800</v>
      </c>
      <c r="M263" s="14">
        <f t="shared" si="13"/>
        <v>1800</v>
      </c>
    </row>
    <row r="264" spans="1:13" x14ac:dyDescent="0.35">
      <c r="A264" s="3" t="s">
        <v>705</v>
      </c>
      <c r="B264" s="8" t="s">
        <v>651</v>
      </c>
      <c r="C264" s="3" t="s">
        <v>727</v>
      </c>
      <c r="D264" s="4" t="s">
        <v>730</v>
      </c>
      <c r="E264" s="4" t="s">
        <v>731</v>
      </c>
      <c r="F264" s="5">
        <v>0</v>
      </c>
      <c r="G264" s="6">
        <v>60</v>
      </c>
      <c r="H264" s="7">
        <v>24.29</v>
      </c>
      <c r="I264" s="7">
        <v>30</v>
      </c>
      <c r="J264" s="7">
        <v>30</v>
      </c>
      <c r="K264" s="7">
        <f t="shared" si="14"/>
        <v>1457.3999999999999</v>
      </c>
      <c r="L264" s="7">
        <f t="shared" si="15"/>
        <v>1800</v>
      </c>
      <c r="M264" s="14">
        <f t="shared" si="13"/>
        <v>1800</v>
      </c>
    </row>
    <row r="265" spans="1:13" x14ac:dyDescent="0.35">
      <c r="A265" s="3" t="s">
        <v>705</v>
      </c>
      <c r="B265" s="8" t="s">
        <v>651</v>
      </c>
      <c r="C265" s="3" t="s">
        <v>727</v>
      </c>
      <c r="D265" s="4" t="s">
        <v>732</v>
      </c>
      <c r="E265" s="4" t="s">
        <v>733</v>
      </c>
      <c r="F265" s="5">
        <v>0</v>
      </c>
      <c r="G265" s="6">
        <v>60</v>
      </c>
      <c r="H265" s="7">
        <v>24.29</v>
      </c>
      <c r="I265" s="7">
        <v>30</v>
      </c>
      <c r="J265" s="7">
        <v>30</v>
      </c>
      <c r="K265" s="7">
        <f t="shared" si="14"/>
        <v>1457.3999999999999</v>
      </c>
      <c r="L265" s="7">
        <f t="shared" si="15"/>
        <v>1800</v>
      </c>
      <c r="M265" s="14">
        <f t="shared" si="13"/>
        <v>1800</v>
      </c>
    </row>
    <row r="266" spans="1:13" x14ac:dyDescent="0.35">
      <c r="A266" s="3" t="s">
        <v>705</v>
      </c>
      <c r="B266" s="8" t="s">
        <v>651</v>
      </c>
      <c r="C266" s="3" t="s">
        <v>727</v>
      </c>
      <c r="D266" s="4" t="s">
        <v>734</v>
      </c>
      <c r="E266" s="4" t="s">
        <v>735</v>
      </c>
      <c r="F266" s="5">
        <v>0</v>
      </c>
      <c r="G266" s="6">
        <v>36</v>
      </c>
      <c r="H266" s="7">
        <v>24.345300000000002</v>
      </c>
      <c r="I266" s="7">
        <v>30</v>
      </c>
      <c r="J266" s="7">
        <v>30</v>
      </c>
      <c r="K266" s="7">
        <f t="shared" si="14"/>
        <v>876.43080000000009</v>
      </c>
      <c r="L266" s="7">
        <f t="shared" si="15"/>
        <v>1080</v>
      </c>
      <c r="M266" s="14">
        <f t="shared" si="13"/>
        <v>1080</v>
      </c>
    </row>
    <row r="267" spans="1:13" x14ac:dyDescent="0.35">
      <c r="A267" s="3" t="s">
        <v>705</v>
      </c>
      <c r="B267" s="8" t="s">
        <v>1836</v>
      </c>
      <c r="C267" s="3" t="s">
        <v>736</v>
      </c>
      <c r="D267" s="4" t="s">
        <v>737</v>
      </c>
      <c r="E267" s="4" t="s">
        <v>738</v>
      </c>
      <c r="F267" s="5">
        <v>0</v>
      </c>
      <c r="G267" s="6">
        <v>1</v>
      </c>
      <c r="H267" s="7">
        <v>292.29000000000002</v>
      </c>
      <c r="I267" s="7">
        <v>310</v>
      </c>
      <c r="J267" s="7">
        <v>310</v>
      </c>
      <c r="K267" s="7">
        <f t="shared" si="14"/>
        <v>292.29000000000002</v>
      </c>
      <c r="L267" s="7">
        <f t="shared" si="15"/>
        <v>310</v>
      </c>
      <c r="M267" s="14">
        <f t="shared" si="13"/>
        <v>310</v>
      </c>
    </row>
    <row r="268" spans="1:13" x14ac:dyDescent="0.35">
      <c r="A268" s="3" t="s">
        <v>705</v>
      </c>
      <c r="B268" s="8" t="s">
        <v>1836</v>
      </c>
      <c r="C268" s="3" t="s">
        <v>736</v>
      </c>
      <c r="D268" s="4" t="s">
        <v>739</v>
      </c>
      <c r="E268" s="4" t="s">
        <v>740</v>
      </c>
      <c r="F268" s="5">
        <v>0</v>
      </c>
      <c r="G268" s="6">
        <v>1</v>
      </c>
      <c r="H268" s="7">
        <v>292.29000000000002</v>
      </c>
      <c r="I268" s="7">
        <v>310</v>
      </c>
      <c r="J268" s="7">
        <v>310</v>
      </c>
      <c r="K268" s="7">
        <f t="shared" si="14"/>
        <v>292.29000000000002</v>
      </c>
      <c r="L268" s="7">
        <f t="shared" si="15"/>
        <v>310</v>
      </c>
      <c r="M268" s="14">
        <f t="shared" ref="M268:M331" si="16">J268*G268</f>
        <v>310</v>
      </c>
    </row>
    <row r="269" spans="1:13" x14ac:dyDescent="0.35">
      <c r="A269" s="3" t="s">
        <v>705</v>
      </c>
      <c r="B269" s="8" t="s">
        <v>1836</v>
      </c>
      <c r="C269" s="3" t="s">
        <v>736</v>
      </c>
      <c r="D269" s="4" t="s">
        <v>741</v>
      </c>
      <c r="E269" s="4" t="s">
        <v>742</v>
      </c>
      <c r="F269" s="5">
        <v>0</v>
      </c>
      <c r="G269" s="6">
        <v>3</v>
      </c>
      <c r="H269" s="7">
        <v>222.17670000000001</v>
      </c>
      <c r="I269" s="7">
        <v>230</v>
      </c>
      <c r="J269" s="7">
        <v>230</v>
      </c>
      <c r="K269" s="7">
        <f t="shared" si="14"/>
        <v>666.53010000000006</v>
      </c>
      <c r="L269" s="7">
        <f t="shared" si="15"/>
        <v>690</v>
      </c>
      <c r="M269" s="14">
        <f t="shared" si="16"/>
        <v>690</v>
      </c>
    </row>
    <row r="270" spans="1:13" x14ac:dyDescent="0.35">
      <c r="A270" s="3" t="s">
        <v>705</v>
      </c>
      <c r="B270" s="8" t="s">
        <v>1836</v>
      </c>
      <c r="C270" s="3" t="s">
        <v>736</v>
      </c>
      <c r="D270" s="4" t="s">
        <v>743</v>
      </c>
      <c r="E270" s="4" t="s">
        <v>744</v>
      </c>
      <c r="F270" s="5">
        <v>0</v>
      </c>
      <c r="G270" s="6">
        <v>1</v>
      </c>
      <c r="H270" s="7">
        <v>330.36</v>
      </c>
      <c r="I270" s="7">
        <v>350</v>
      </c>
      <c r="J270" s="7">
        <v>350</v>
      </c>
      <c r="K270" s="7">
        <f t="shared" si="14"/>
        <v>330.36</v>
      </c>
      <c r="L270" s="7">
        <f t="shared" si="15"/>
        <v>350</v>
      </c>
      <c r="M270" s="14">
        <f t="shared" si="16"/>
        <v>350</v>
      </c>
    </row>
    <row r="271" spans="1:13" x14ac:dyDescent="0.35">
      <c r="A271" s="3" t="s">
        <v>705</v>
      </c>
      <c r="B271" s="8" t="s">
        <v>1836</v>
      </c>
      <c r="C271" s="3" t="s">
        <v>736</v>
      </c>
      <c r="D271" s="4" t="s">
        <v>745</v>
      </c>
      <c r="E271" s="4" t="s">
        <v>746</v>
      </c>
      <c r="F271" s="5">
        <v>0</v>
      </c>
      <c r="G271" s="6">
        <v>1</v>
      </c>
      <c r="H271" s="7">
        <v>293.82</v>
      </c>
      <c r="I271" s="7">
        <v>310</v>
      </c>
      <c r="J271" s="7">
        <v>310</v>
      </c>
      <c r="K271" s="7">
        <f t="shared" si="14"/>
        <v>293.82</v>
      </c>
      <c r="L271" s="7">
        <f t="shared" si="15"/>
        <v>310</v>
      </c>
      <c r="M271" s="14">
        <f t="shared" si="16"/>
        <v>310</v>
      </c>
    </row>
    <row r="272" spans="1:13" x14ac:dyDescent="0.35">
      <c r="A272" s="3" t="s">
        <v>705</v>
      </c>
      <c r="B272" s="8" t="s">
        <v>1836</v>
      </c>
      <c r="C272" s="3" t="s">
        <v>747</v>
      </c>
      <c r="D272" s="4" t="s">
        <v>748</v>
      </c>
      <c r="E272" s="4" t="s">
        <v>749</v>
      </c>
      <c r="F272" s="5">
        <v>0</v>
      </c>
      <c r="G272" s="6">
        <v>1</v>
      </c>
      <c r="H272" s="7">
        <v>292.29000000000002</v>
      </c>
      <c r="I272" s="7">
        <v>310</v>
      </c>
      <c r="J272" s="7">
        <v>310</v>
      </c>
      <c r="K272" s="7">
        <f t="shared" si="14"/>
        <v>292.29000000000002</v>
      </c>
      <c r="L272" s="7">
        <f t="shared" si="15"/>
        <v>310</v>
      </c>
      <c r="M272" s="14">
        <f t="shared" si="16"/>
        <v>310</v>
      </c>
    </row>
    <row r="273" spans="1:13" ht="15" customHeight="1" x14ac:dyDescent="0.35">
      <c r="A273" s="3" t="s">
        <v>705</v>
      </c>
      <c r="B273" s="8" t="s">
        <v>1836</v>
      </c>
      <c r="C273" s="3" t="s">
        <v>750</v>
      </c>
      <c r="D273" s="4" t="s">
        <v>751</v>
      </c>
      <c r="E273" s="4" t="s">
        <v>752</v>
      </c>
      <c r="F273" s="5">
        <v>0</v>
      </c>
      <c r="G273" s="6">
        <v>1</v>
      </c>
      <c r="H273" s="7">
        <v>292.29000000000002</v>
      </c>
      <c r="I273" s="7">
        <v>310</v>
      </c>
      <c r="J273" s="7">
        <v>310</v>
      </c>
      <c r="K273" s="7">
        <f t="shared" si="14"/>
        <v>292.29000000000002</v>
      </c>
      <c r="L273" s="7">
        <f t="shared" si="15"/>
        <v>310</v>
      </c>
      <c r="M273" s="14">
        <f t="shared" si="16"/>
        <v>310</v>
      </c>
    </row>
    <row r="274" spans="1:13" x14ac:dyDescent="0.35">
      <c r="A274" s="3" t="s">
        <v>705</v>
      </c>
      <c r="B274" s="8" t="s">
        <v>1836</v>
      </c>
      <c r="C274" s="3" t="s">
        <v>750</v>
      </c>
      <c r="D274" s="4" t="s">
        <v>753</v>
      </c>
      <c r="E274" s="4" t="s">
        <v>754</v>
      </c>
      <c r="F274" s="5">
        <v>0</v>
      </c>
      <c r="G274" s="6">
        <v>1</v>
      </c>
      <c r="H274" s="7">
        <v>222.18</v>
      </c>
      <c r="I274" s="7">
        <v>230</v>
      </c>
      <c r="J274" s="7">
        <v>230</v>
      </c>
      <c r="K274" s="7">
        <f t="shared" si="14"/>
        <v>222.18</v>
      </c>
      <c r="L274" s="7">
        <f t="shared" si="15"/>
        <v>230</v>
      </c>
      <c r="M274" s="14">
        <f t="shared" si="16"/>
        <v>230</v>
      </c>
    </row>
    <row r="275" spans="1:13" x14ac:dyDescent="0.35">
      <c r="A275" s="3" t="s">
        <v>705</v>
      </c>
      <c r="B275" s="8" t="s">
        <v>1836</v>
      </c>
      <c r="C275" s="3" t="s">
        <v>755</v>
      </c>
      <c r="D275" s="4" t="s">
        <v>756</v>
      </c>
      <c r="E275" s="4" t="s">
        <v>757</v>
      </c>
      <c r="F275" s="5">
        <v>0</v>
      </c>
      <c r="G275" s="6">
        <v>0</v>
      </c>
      <c r="H275" s="7">
        <v>328.83</v>
      </c>
      <c r="I275" s="7">
        <v>350</v>
      </c>
      <c r="J275" s="7">
        <v>350</v>
      </c>
      <c r="K275" s="7">
        <f t="shared" si="14"/>
        <v>0</v>
      </c>
      <c r="L275" s="7">
        <f t="shared" si="15"/>
        <v>0</v>
      </c>
      <c r="M275" s="14">
        <f t="shared" si="16"/>
        <v>0</v>
      </c>
    </row>
    <row r="276" spans="1:13" x14ac:dyDescent="0.35">
      <c r="A276" s="3" t="s">
        <v>705</v>
      </c>
      <c r="B276" s="8" t="s">
        <v>1836</v>
      </c>
      <c r="C276" s="3" t="s">
        <v>755</v>
      </c>
      <c r="D276" s="4" t="s">
        <v>758</v>
      </c>
      <c r="E276" s="4" t="s">
        <v>759</v>
      </c>
      <c r="F276" s="5">
        <v>0</v>
      </c>
      <c r="G276" s="6">
        <v>9</v>
      </c>
      <c r="H276" s="7">
        <v>40.17</v>
      </c>
      <c r="I276" s="7">
        <v>50</v>
      </c>
      <c r="J276" s="7">
        <v>50</v>
      </c>
      <c r="K276" s="7">
        <f t="shared" si="14"/>
        <v>361.53000000000003</v>
      </c>
      <c r="L276" s="7">
        <f t="shared" si="15"/>
        <v>450</v>
      </c>
      <c r="M276" s="14">
        <f t="shared" si="16"/>
        <v>450</v>
      </c>
    </row>
    <row r="277" spans="1:13" x14ac:dyDescent="0.35">
      <c r="A277" s="3" t="s">
        <v>705</v>
      </c>
      <c r="B277" s="8" t="s">
        <v>1836</v>
      </c>
      <c r="C277" s="3" t="s">
        <v>755</v>
      </c>
      <c r="D277" s="4" t="s">
        <v>760</v>
      </c>
      <c r="E277" s="4" t="s">
        <v>761</v>
      </c>
      <c r="F277" s="5">
        <v>0</v>
      </c>
      <c r="G277" s="6">
        <v>1</v>
      </c>
      <c r="H277" s="7">
        <v>222.18</v>
      </c>
      <c r="I277" s="7">
        <v>230</v>
      </c>
      <c r="J277" s="7">
        <v>230</v>
      </c>
      <c r="K277" s="7">
        <f t="shared" ref="K277:K340" si="17">H277*G277</f>
        <v>222.18</v>
      </c>
      <c r="L277" s="7">
        <f t="shared" ref="L277:L340" si="18">I277*G277</f>
        <v>230</v>
      </c>
      <c r="M277" s="14">
        <f t="shared" si="16"/>
        <v>230</v>
      </c>
    </row>
    <row r="278" spans="1:13" x14ac:dyDescent="0.35">
      <c r="A278" s="3" t="s">
        <v>705</v>
      </c>
      <c r="B278" s="8" t="s">
        <v>1836</v>
      </c>
      <c r="C278" s="3" t="s">
        <v>762</v>
      </c>
      <c r="D278" s="4" t="s">
        <v>763</v>
      </c>
      <c r="E278" s="4" t="s">
        <v>764</v>
      </c>
      <c r="F278" s="5">
        <v>0</v>
      </c>
      <c r="G278" s="6">
        <v>1</v>
      </c>
      <c r="H278" s="7">
        <v>328.83</v>
      </c>
      <c r="I278" s="7">
        <v>350</v>
      </c>
      <c r="J278" s="7">
        <v>350</v>
      </c>
      <c r="K278" s="7">
        <f t="shared" si="17"/>
        <v>328.83</v>
      </c>
      <c r="L278" s="7">
        <f t="shared" si="18"/>
        <v>350</v>
      </c>
      <c r="M278" s="14">
        <f t="shared" si="16"/>
        <v>350</v>
      </c>
    </row>
    <row r="279" spans="1:13" x14ac:dyDescent="0.35">
      <c r="A279" s="3" t="s">
        <v>705</v>
      </c>
      <c r="B279" s="8" t="s">
        <v>1836</v>
      </c>
      <c r="C279" s="3" t="s">
        <v>762</v>
      </c>
      <c r="D279" s="4" t="s">
        <v>765</v>
      </c>
      <c r="E279" s="4" t="s">
        <v>766</v>
      </c>
      <c r="F279" s="5">
        <v>0</v>
      </c>
      <c r="G279" s="6">
        <v>1</v>
      </c>
      <c r="H279" s="7">
        <v>292.29000000000002</v>
      </c>
      <c r="I279" s="7">
        <v>310</v>
      </c>
      <c r="J279" s="7">
        <v>310</v>
      </c>
      <c r="K279" s="7">
        <f t="shared" si="17"/>
        <v>292.29000000000002</v>
      </c>
      <c r="L279" s="7">
        <f t="shared" si="18"/>
        <v>310</v>
      </c>
      <c r="M279" s="14">
        <f t="shared" si="16"/>
        <v>310</v>
      </c>
    </row>
    <row r="280" spans="1:13" x14ac:dyDescent="0.35">
      <c r="A280" s="3" t="s">
        <v>705</v>
      </c>
      <c r="B280" s="8" t="s">
        <v>1836</v>
      </c>
      <c r="C280" s="3" t="s">
        <v>767</v>
      </c>
      <c r="D280" s="4" t="s">
        <v>768</v>
      </c>
      <c r="E280" s="4" t="s">
        <v>769</v>
      </c>
      <c r="F280" s="5">
        <v>0</v>
      </c>
      <c r="G280" s="6">
        <v>1</v>
      </c>
      <c r="H280" s="7">
        <v>219.2167</v>
      </c>
      <c r="I280" s="7">
        <v>230</v>
      </c>
      <c r="J280" s="7">
        <v>230</v>
      </c>
      <c r="K280" s="7">
        <f t="shared" si="17"/>
        <v>219.2167</v>
      </c>
      <c r="L280" s="7">
        <f t="shared" si="18"/>
        <v>230</v>
      </c>
      <c r="M280" s="14">
        <f t="shared" si="16"/>
        <v>230</v>
      </c>
    </row>
    <row r="281" spans="1:13" x14ac:dyDescent="0.35">
      <c r="A281" s="3" t="s">
        <v>705</v>
      </c>
      <c r="B281" s="8" t="s">
        <v>1836</v>
      </c>
      <c r="C281" s="3" t="s">
        <v>767</v>
      </c>
      <c r="D281" s="4" t="s">
        <v>770</v>
      </c>
      <c r="E281" s="4" t="s">
        <v>771</v>
      </c>
      <c r="F281" s="5">
        <v>0</v>
      </c>
      <c r="G281" s="6">
        <v>0</v>
      </c>
      <c r="H281" s="7">
        <v>219.22</v>
      </c>
      <c r="I281" s="7">
        <v>230</v>
      </c>
      <c r="J281" s="7">
        <v>230</v>
      </c>
      <c r="K281" s="7">
        <f t="shared" si="17"/>
        <v>0</v>
      </c>
      <c r="L281" s="7">
        <f t="shared" si="18"/>
        <v>0</v>
      </c>
      <c r="M281" s="14">
        <f t="shared" si="16"/>
        <v>0</v>
      </c>
    </row>
    <row r="282" spans="1:13" x14ac:dyDescent="0.35">
      <c r="A282" s="3" t="s">
        <v>705</v>
      </c>
      <c r="B282" s="8" t="s">
        <v>1836</v>
      </c>
      <c r="C282" s="3" t="s">
        <v>767</v>
      </c>
      <c r="D282" s="4" t="s">
        <v>772</v>
      </c>
      <c r="E282" s="4" t="s">
        <v>773</v>
      </c>
      <c r="F282" s="5">
        <v>0</v>
      </c>
      <c r="G282" s="6">
        <v>0</v>
      </c>
      <c r="H282" s="7">
        <v>219.22</v>
      </c>
      <c r="I282" s="7">
        <v>230</v>
      </c>
      <c r="J282" s="7">
        <v>230</v>
      </c>
      <c r="K282" s="7">
        <f t="shared" si="17"/>
        <v>0</v>
      </c>
      <c r="L282" s="7">
        <f t="shared" si="18"/>
        <v>0</v>
      </c>
      <c r="M282" s="14">
        <f t="shared" si="16"/>
        <v>0</v>
      </c>
    </row>
    <row r="283" spans="1:13" x14ac:dyDescent="0.35">
      <c r="A283" s="3" t="s">
        <v>705</v>
      </c>
      <c r="B283" s="8" t="s">
        <v>1836</v>
      </c>
      <c r="C283" s="3" t="s">
        <v>774</v>
      </c>
      <c r="D283" s="4" t="s">
        <v>775</v>
      </c>
      <c r="E283" s="4" t="s">
        <v>776</v>
      </c>
      <c r="F283" s="5">
        <v>0</v>
      </c>
      <c r="G283" s="6">
        <v>1</v>
      </c>
      <c r="H283" s="7">
        <v>292.29000000000002</v>
      </c>
      <c r="I283" s="7">
        <v>310</v>
      </c>
      <c r="J283" s="7">
        <v>310</v>
      </c>
      <c r="K283" s="7">
        <f t="shared" si="17"/>
        <v>292.29000000000002</v>
      </c>
      <c r="L283" s="7">
        <f t="shared" si="18"/>
        <v>310</v>
      </c>
      <c r="M283" s="14">
        <f t="shared" si="16"/>
        <v>310</v>
      </c>
    </row>
    <row r="284" spans="1:13" x14ac:dyDescent="0.35">
      <c r="A284" s="3" t="s">
        <v>705</v>
      </c>
      <c r="B284" s="8" t="s">
        <v>1837</v>
      </c>
      <c r="C284" s="3" t="s">
        <v>784</v>
      </c>
      <c r="D284" s="4" t="s">
        <v>785</v>
      </c>
      <c r="E284" s="4" t="s">
        <v>786</v>
      </c>
      <c r="F284" s="5">
        <v>0.1</v>
      </c>
      <c r="G284" s="6">
        <v>5</v>
      </c>
      <c r="H284" s="7">
        <v>109.23</v>
      </c>
      <c r="I284" s="7">
        <v>120</v>
      </c>
      <c r="J284" s="7">
        <v>120</v>
      </c>
      <c r="K284" s="7">
        <f t="shared" si="17"/>
        <v>546.15</v>
      </c>
      <c r="L284" s="7">
        <f t="shared" si="18"/>
        <v>600</v>
      </c>
      <c r="M284" s="14">
        <f t="shared" si="16"/>
        <v>600</v>
      </c>
    </row>
    <row r="285" spans="1:13" x14ac:dyDescent="0.35">
      <c r="A285" s="3" t="s">
        <v>705</v>
      </c>
      <c r="B285" s="8" t="s">
        <v>1837</v>
      </c>
      <c r="C285" s="3" t="s">
        <v>793</v>
      </c>
      <c r="D285" s="4" t="s">
        <v>806</v>
      </c>
      <c r="E285" s="4" t="s">
        <v>807</v>
      </c>
      <c r="F285" s="5">
        <v>0.25</v>
      </c>
      <c r="G285" s="6">
        <v>2</v>
      </c>
      <c r="H285" s="7">
        <v>243.67</v>
      </c>
      <c r="I285" s="7">
        <v>280</v>
      </c>
      <c r="J285" s="7">
        <v>280</v>
      </c>
      <c r="K285" s="7">
        <f t="shared" si="17"/>
        <v>487.34</v>
      </c>
      <c r="L285" s="7">
        <f t="shared" si="18"/>
        <v>560</v>
      </c>
      <c r="M285" s="14">
        <f t="shared" si="16"/>
        <v>560</v>
      </c>
    </row>
    <row r="286" spans="1:13" x14ac:dyDescent="0.35">
      <c r="A286" s="3" t="s">
        <v>705</v>
      </c>
      <c r="B286" s="8" t="s">
        <v>1838</v>
      </c>
      <c r="C286" s="3" t="s">
        <v>819</v>
      </c>
      <c r="D286" s="4" t="s">
        <v>822</v>
      </c>
      <c r="E286" s="4" t="s">
        <v>823</v>
      </c>
      <c r="F286" s="5">
        <v>0.56000000000000005</v>
      </c>
      <c r="G286" s="6">
        <v>2</v>
      </c>
      <c r="H286" s="7">
        <v>1097.22</v>
      </c>
      <c r="I286" s="7">
        <v>1150</v>
      </c>
      <c r="J286" s="7">
        <v>1150</v>
      </c>
      <c r="K286" s="7">
        <f t="shared" si="17"/>
        <v>2194.44</v>
      </c>
      <c r="L286" s="7">
        <f t="shared" si="18"/>
        <v>2300</v>
      </c>
      <c r="M286" s="14">
        <f t="shared" si="16"/>
        <v>2300</v>
      </c>
    </row>
    <row r="287" spans="1:13" x14ac:dyDescent="0.35">
      <c r="A287" s="3" t="s">
        <v>705</v>
      </c>
      <c r="B287" s="8" t="s">
        <v>1838</v>
      </c>
      <c r="C287" s="3" t="s">
        <v>819</v>
      </c>
      <c r="D287" s="4" t="s">
        <v>820</v>
      </c>
      <c r="E287" s="4" t="s">
        <v>821</v>
      </c>
      <c r="F287" s="5">
        <v>0.35</v>
      </c>
      <c r="G287" s="6">
        <v>3</v>
      </c>
      <c r="H287" s="7">
        <v>689.81</v>
      </c>
      <c r="I287" s="7">
        <v>750</v>
      </c>
      <c r="J287" s="7">
        <v>750</v>
      </c>
      <c r="K287" s="7">
        <f t="shared" si="17"/>
        <v>2069.4299999999998</v>
      </c>
      <c r="L287" s="7">
        <f t="shared" si="18"/>
        <v>2250</v>
      </c>
      <c r="M287" s="14">
        <f t="shared" si="16"/>
        <v>2250</v>
      </c>
    </row>
    <row r="288" spans="1:13" x14ac:dyDescent="0.35">
      <c r="A288" s="3" t="s">
        <v>705</v>
      </c>
      <c r="B288" s="8" t="s">
        <v>1838</v>
      </c>
      <c r="C288" s="3" t="s">
        <v>819</v>
      </c>
      <c r="D288" s="4" t="s">
        <v>826</v>
      </c>
      <c r="E288" s="4" t="s">
        <v>827</v>
      </c>
      <c r="F288" s="5">
        <v>0.23</v>
      </c>
      <c r="G288" s="6">
        <v>3</v>
      </c>
      <c r="H288" s="7">
        <v>460.27</v>
      </c>
      <c r="I288" s="7">
        <v>500</v>
      </c>
      <c r="J288" s="7">
        <v>500</v>
      </c>
      <c r="K288" s="7">
        <f t="shared" si="17"/>
        <v>1380.81</v>
      </c>
      <c r="L288" s="7">
        <f t="shared" si="18"/>
        <v>1500</v>
      </c>
      <c r="M288" s="14">
        <f t="shared" si="16"/>
        <v>1500</v>
      </c>
    </row>
    <row r="289" spans="1:13" x14ac:dyDescent="0.35">
      <c r="A289" s="3" t="s">
        <v>705</v>
      </c>
      <c r="B289" s="8" t="s">
        <v>1838</v>
      </c>
      <c r="C289" s="3" t="s">
        <v>816</v>
      </c>
      <c r="D289" s="4" t="s">
        <v>817</v>
      </c>
      <c r="E289" s="4" t="s">
        <v>818</v>
      </c>
      <c r="F289" s="5">
        <v>2.5000000000000001E-2</v>
      </c>
      <c r="G289" s="6">
        <v>8</v>
      </c>
      <c r="H289" s="7">
        <v>43.33</v>
      </c>
      <c r="I289" s="7">
        <v>50</v>
      </c>
      <c r="J289" s="7">
        <v>50</v>
      </c>
      <c r="K289" s="7">
        <f t="shared" si="17"/>
        <v>346.64</v>
      </c>
      <c r="L289" s="7">
        <f t="shared" si="18"/>
        <v>400</v>
      </c>
      <c r="M289" s="14">
        <f t="shared" si="16"/>
        <v>400</v>
      </c>
    </row>
    <row r="290" spans="1:13" x14ac:dyDescent="0.35">
      <c r="A290" s="3" t="s">
        <v>705</v>
      </c>
      <c r="B290" s="8" t="s">
        <v>1838</v>
      </c>
      <c r="C290" s="3" t="s">
        <v>819</v>
      </c>
      <c r="D290" s="4" t="s">
        <v>824</v>
      </c>
      <c r="E290" s="4" t="s">
        <v>825</v>
      </c>
      <c r="F290" s="5">
        <v>1.4999999999999999E-2</v>
      </c>
      <c r="G290" s="6">
        <v>36</v>
      </c>
      <c r="H290" s="7">
        <v>28.81</v>
      </c>
      <c r="I290" s="7">
        <v>30</v>
      </c>
      <c r="J290" s="7">
        <v>30</v>
      </c>
      <c r="K290" s="7">
        <f t="shared" si="17"/>
        <v>1037.1599999999999</v>
      </c>
      <c r="L290" s="7">
        <f t="shared" si="18"/>
        <v>1080</v>
      </c>
      <c r="M290" s="14">
        <f t="shared" si="16"/>
        <v>1080</v>
      </c>
    </row>
    <row r="291" spans="1:13" x14ac:dyDescent="0.35">
      <c r="A291" s="3" t="s">
        <v>705</v>
      </c>
      <c r="B291" s="8" t="s">
        <v>843</v>
      </c>
      <c r="C291" s="3" t="s">
        <v>843</v>
      </c>
      <c r="D291" s="4" t="s">
        <v>844</v>
      </c>
      <c r="E291" s="4" t="s">
        <v>264</v>
      </c>
      <c r="F291" s="5">
        <v>0.04</v>
      </c>
      <c r="G291" s="6">
        <v>0</v>
      </c>
      <c r="H291" s="7">
        <v>130</v>
      </c>
      <c r="I291" s="7">
        <v>180</v>
      </c>
      <c r="J291" s="7">
        <v>180</v>
      </c>
      <c r="K291" s="7">
        <f t="shared" si="17"/>
        <v>0</v>
      </c>
      <c r="L291" s="7">
        <f t="shared" si="18"/>
        <v>0</v>
      </c>
      <c r="M291" s="14">
        <f t="shared" si="16"/>
        <v>0</v>
      </c>
    </row>
    <row r="292" spans="1:13" x14ac:dyDescent="0.35">
      <c r="A292" s="3" t="s">
        <v>705</v>
      </c>
      <c r="B292" s="8" t="s">
        <v>843</v>
      </c>
      <c r="C292" s="3" t="s">
        <v>843</v>
      </c>
      <c r="D292" s="4" t="s">
        <v>845</v>
      </c>
      <c r="E292" s="4" t="s">
        <v>846</v>
      </c>
      <c r="F292" s="5">
        <v>1.0999999999999999E-2</v>
      </c>
      <c r="G292" s="6">
        <v>12</v>
      </c>
      <c r="H292" s="7">
        <v>31.25</v>
      </c>
      <c r="I292" s="7">
        <v>50</v>
      </c>
      <c r="J292" s="7">
        <v>50</v>
      </c>
      <c r="K292" s="7">
        <f t="shared" si="17"/>
        <v>375</v>
      </c>
      <c r="L292" s="7">
        <f t="shared" si="18"/>
        <v>600</v>
      </c>
      <c r="M292" s="14">
        <f t="shared" si="16"/>
        <v>600</v>
      </c>
    </row>
    <row r="293" spans="1:13" x14ac:dyDescent="0.35">
      <c r="A293" s="3" t="s">
        <v>705</v>
      </c>
      <c r="B293" s="8" t="s">
        <v>843</v>
      </c>
      <c r="C293" s="3" t="s">
        <v>843</v>
      </c>
      <c r="D293" s="4" t="s">
        <v>847</v>
      </c>
      <c r="E293" s="4" t="s">
        <v>848</v>
      </c>
      <c r="F293" s="5">
        <v>1.0999999999999999E-2</v>
      </c>
      <c r="G293" s="6">
        <v>0</v>
      </c>
      <c r="H293" s="7">
        <v>35</v>
      </c>
      <c r="I293" s="7">
        <v>40</v>
      </c>
      <c r="J293" s="7">
        <v>40</v>
      </c>
      <c r="K293" s="7">
        <f t="shared" si="17"/>
        <v>0</v>
      </c>
      <c r="L293" s="7">
        <f t="shared" si="18"/>
        <v>0</v>
      </c>
      <c r="M293" s="14">
        <f t="shared" si="16"/>
        <v>0</v>
      </c>
    </row>
    <row r="294" spans="1:13" x14ac:dyDescent="0.35">
      <c r="A294" s="3" t="s">
        <v>705</v>
      </c>
      <c r="B294" s="8" t="s">
        <v>849</v>
      </c>
      <c r="C294" s="3" t="s">
        <v>849</v>
      </c>
      <c r="D294" s="4" t="s">
        <v>850</v>
      </c>
      <c r="E294" s="4" t="s">
        <v>851</v>
      </c>
      <c r="F294" s="5">
        <v>0.56499999999999995</v>
      </c>
      <c r="G294" s="10">
        <v>1</v>
      </c>
      <c r="H294" s="7">
        <v>400</v>
      </c>
      <c r="I294" s="7">
        <v>450</v>
      </c>
      <c r="J294" s="7">
        <v>500</v>
      </c>
      <c r="K294" s="7">
        <f t="shared" si="17"/>
        <v>400</v>
      </c>
      <c r="L294" s="7">
        <f t="shared" si="18"/>
        <v>450</v>
      </c>
      <c r="M294" s="14">
        <f t="shared" si="16"/>
        <v>500</v>
      </c>
    </row>
    <row r="295" spans="1:13" x14ac:dyDescent="0.35">
      <c r="A295" s="3" t="s">
        <v>705</v>
      </c>
      <c r="B295" s="8" t="s">
        <v>849</v>
      </c>
      <c r="C295" s="3" t="s">
        <v>849</v>
      </c>
      <c r="D295" s="4" t="s">
        <v>852</v>
      </c>
      <c r="E295" s="4" t="s">
        <v>853</v>
      </c>
      <c r="F295" s="5">
        <v>0.54</v>
      </c>
      <c r="G295" s="10">
        <v>1</v>
      </c>
      <c r="H295" s="7">
        <v>450</v>
      </c>
      <c r="I295" s="7">
        <v>500</v>
      </c>
      <c r="J295" s="7">
        <v>550</v>
      </c>
      <c r="K295" s="7">
        <f t="shared" si="17"/>
        <v>450</v>
      </c>
      <c r="L295" s="7">
        <f t="shared" si="18"/>
        <v>500</v>
      </c>
      <c r="M295" s="14">
        <f t="shared" si="16"/>
        <v>550</v>
      </c>
    </row>
    <row r="296" spans="1:13" x14ac:dyDescent="0.35">
      <c r="A296" s="3" t="s">
        <v>705</v>
      </c>
      <c r="B296" s="8" t="s">
        <v>849</v>
      </c>
      <c r="C296" s="3" t="s">
        <v>849</v>
      </c>
      <c r="D296" s="4" t="s">
        <v>854</v>
      </c>
      <c r="E296" s="4" t="s">
        <v>855</v>
      </c>
      <c r="F296" s="5">
        <v>0.22700000000000001</v>
      </c>
      <c r="G296" s="10">
        <v>4</v>
      </c>
      <c r="H296" s="7">
        <v>290</v>
      </c>
      <c r="I296" s="7">
        <v>320</v>
      </c>
      <c r="J296" s="7">
        <v>350</v>
      </c>
      <c r="K296" s="7">
        <f t="shared" si="17"/>
        <v>1160</v>
      </c>
      <c r="L296" s="7">
        <f t="shared" si="18"/>
        <v>1280</v>
      </c>
      <c r="M296" s="14">
        <f t="shared" si="16"/>
        <v>1400</v>
      </c>
    </row>
    <row r="297" spans="1:13" x14ac:dyDescent="0.35">
      <c r="A297" s="3" t="s">
        <v>705</v>
      </c>
      <c r="B297" s="8" t="s">
        <v>849</v>
      </c>
      <c r="C297" s="3" t="s">
        <v>849</v>
      </c>
      <c r="D297" s="4" t="s">
        <v>856</v>
      </c>
      <c r="E297" s="4" t="s">
        <v>857</v>
      </c>
      <c r="F297" s="5">
        <v>0.56499999999999995</v>
      </c>
      <c r="G297" s="10">
        <v>2</v>
      </c>
      <c r="H297" s="7">
        <v>450</v>
      </c>
      <c r="I297" s="7">
        <v>500</v>
      </c>
      <c r="J297" s="7">
        <v>550</v>
      </c>
      <c r="K297" s="7">
        <f t="shared" si="17"/>
        <v>900</v>
      </c>
      <c r="L297" s="7">
        <f t="shared" si="18"/>
        <v>1000</v>
      </c>
      <c r="M297" s="14">
        <f t="shared" si="16"/>
        <v>1100</v>
      </c>
    </row>
    <row r="298" spans="1:13" x14ac:dyDescent="0.35">
      <c r="A298" s="3" t="s">
        <v>705</v>
      </c>
      <c r="B298" s="8" t="s">
        <v>626</v>
      </c>
      <c r="C298" s="3" t="s">
        <v>626</v>
      </c>
      <c r="D298" s="4" t="s">
        <v>858</v>
      </c>
      <c r="E298" s="4" t="s">
        <v>859</v>
      </c>
      <c r="F298" s="5">
        <v>0</v>
      </c>
      <c r="G298" s="6">
        <v>1</v>
      </c>
      <c r="H298" s="7">
        <v>90</v>
      </c>
      <c r="I298" s="7">
        <v>120</v>
      </c>
      <c r="J298" s="7">
        <v>120</v>
      </c>
      <c r="K298" s="7">
        <f t="shared" si="17"/>
        <v>90</v>
      </c>
      <c r="L298" s="7">
        <f t="shared" si="18"/>
        <v>120</v>
      </c>
      <c r="M298" s="14">
        <f t="shared" si="16"/>
        <v>120</v>
      </c>
    </row>
    <row r="299" spans="1:13" x14ac:dyDescent="0.35">
      <c r="A299" s="3" t="s">
        <v>705</v>
      </c>
      <c r="B299" s="8" t="s">
        <v>626</v>
      </c>
      <c r="C299" s="3" t="s">
        <v>626</v>
      </c>
      <c r="D299" s="4" t="s">
        <v>860</v>
      </c>
      <c r="E299" s="4" t="s">
        <v>861</v>
      </c>
      <c r="F299" s="5">
        <v>0.2</v>
      </c>
      <c r="G299" s="6">
        <v>9</v>
      </c>
      <c r="H299" s="7">
        <v>149.83000000000001</v>
      </c>
      <c r="I299" s="7">
        <v>180</v>
      </c>
      <c r="J299" s="7">
        <v>180</v>
      </c>
      <c r="K299" s="7">
        <f t="shared" si="17"/>
        <v>1348.47</v>
      </c>
      <c r="L299" s="7">
        <f t="shared" si="18"/>
        <v>1620</v>
      </c>
      <c r="M299" s="14">
        <f t="shared" si="16"/>
        <v>1620</v>
      </c>
    </row>
    <row r="300" spans="1:13" x14ac:dyDescent="0.35">
      <c r="A300" s="3" t="s">
        <v>705</v>
      </c>
      <c r="B300" s="8" t="s">
        <v>626</v>
      </c>
      <c r="C300" s="3" t="s">
        <v>626</v>
      </c>
      <c r="D300" s="4" t="s">
        <v>862</v>
      </c>
      <c r="E300" s="4" t="s">
        <v>863</v>
      </c>
      <c r="F300" s="5">
        <v>0.5</v>
      </c>
      <c r="G300" s="6">
        <v>1</v>
      </c>
      <c r="H300" s="7">
        <v>320</v>
      </c>
      <c r="I300" s="7">
        <v>360</v>
      </c>
      <c r="J300" s="7">
        <v>380</v>
      </c>
      <c r="K300" s="7">
        <f t="shared" si="17"/>
        <v>320</v>
      </c>
      <c r="L300" s="7">
        <f t="shared" si="18"/>
        <v>360</v>
      </c>
      <c r="M300" s="14">
        <f t="shared" si="16"/>
        <v>380</v>
      </c>
    </row>
    <row r="301" spans="1:13" x14ac:dyDescent="0.35">
      <c r="A301" s="3" t="s">
        <v>705</v>
      </c>
      <c r="B301" s="8" t="s">
        <v>626</v>
      </c>
      <c r="C301" s="3" t="s">
        <v>626</v>
      </c>
      <c r="D301" s="4" t="s">
        <v>864</v>
      </c>
      <c r="E301" s="4" t="s">
        <v>865</v>
      </c>
      <c r="F301" s="5">
        <v>1</v>
      </c>
      <c r="G301" s="6">
        <v>3</v>
      </c>
      <c r="H301" s="7">
        <v>588</v>
      </c>
      <c r="I301" s="7">
        <v>650</v>
      </c>
      <c r="J301" s="7">
        <v>650</v>
      </c>
      <c r="K301" s="7">
        <f t="shared" si="17"/>
        <v>1764</v>
      </c>
      <c r="L301" s="7">
        <f t="shared" si="18"/>
        <v>1950</v>
      </c>
      <c r="M301" s="14">
        <f t="shared" si="16"/>
        <v>1950</v>
      </c>
    </row>
    <row r="302" spans="1:13" x14ac:dyDescent="0.35">
      <c r="A302" s="3" t="s">
        <v>705</v>
      </c>
      <c r="B302" s="8" t="s">
        <v>626</v>
      </c>
      <c r="C302" s="3" t="s">
        <v>626</v>
      </c>
      <c r="D302" s="4" t="s">
        <v>866</v>
      </c>
      <c r="E302" s="4" t="s">
        <v>867</v>
      </c>
      <c r="F302" s="5">
        <v>0.1</v>
      </c>
      <c r="G302" s="6">
        <v>8</v>
      </c>
      <c r="H302" s="7">
        <v>79.2</v>
      </c>
      <c r="I302" s="7">
        <v>100</v>
      </c>
      <c r="J302" s="7">
        <v>100</v>
      </c>
      <c r="K302" s="7">
        <f t="shared" si="17"/>
        <v>633.6</v>
      </c>
      <c r="L302" s="7">
        <f t="shared" si="18"/>
        <v>800</v>
      </c>
      <c r="M302" s="14">
        <f t="shared" si="16"/>
        <v>800</v>
      </c>
    </row>
    <row r="303" spans="1:13" x14ac:dyDescent="0.35">
      <c r="A303" s="3" t="s">
        <v>705</v>
      </c>
      <c r="B303" s="8" t="s">
        <v>626</v>
      </c>
      <c r="C303" s="3" t="s">
        <v>626</v>
      </c>
      <c r="D303" s="4" t="s">
        <v>868</v>
      </c>
      <c r="E303" s="4" t="s">
        <v>869</v>
      </c>
      <c r="F303" s="5">
        <v>0.04</v>
      </c>
      <c r="G303" s="6">
        <v>12</v>
      </c>
      <c r="H303" s="7">
        <v>38</v>
      </c>
      <c r="I303" s="7">
        <v>50</v>
      </c>
      <c r="J303" s="7">
        <v>50</v>
      </c>
      <c r="K303" s="7">
        <f t="shared" si="17"/>
        <v>456</v>
      </c>
      <c r="L303" s="7">
        <f t="shared" si="18"/>
        <v>600</v>
      </c>
      <c r="M303" s="14">
        <f t="shared" si="16"/>
        <v>600</v>
      </c>
    </row>
    <row r="304" spans="1:13" x14ac:dyDescent="0.35">
      <c r="A304" s="3" t="s">
        <v>705</v>
      </c>
      <c r="B304" s="8" t="s">
        <v>626</v>
      </c>
      <c r="C304" s="3" t="s">
        <v>626</v>
      </c>
      <c r="D304" s="4" t="s">
        <v>870</v>
      </c>
      <c r="E304" s="4" t="s">
        <v>871</v>
      </c>
      <c r="F304" s="5">
        <v>0.2</v>
      </c>
      <c r="G304" s="6">
        <v>1</v>
      </c>
      <c r="H304" s="7">
        <v>273.93</v>
      </c>
      <c r="I304" s="7">
        <v>300</v>
      </c>
      <c r="J304" s="7">
        <v>300</v>
      </c>
      <c r="K304" s="7">
        <f t="shared" si="17"/>
        <v>273.93</v>
      </c>
      <c r="L304" s="7">
        <f t="shared" si="18"/>
        <v>300</v>
      </c>
      <c r="M304" s="14">
        <f t="shared" si="16"/>
        <v>300</v>
      </c>
    </row>
    <row r="305" spans="1:13" x14ac:dyDescent="0.35">
      <c r="A305" s="3" t="s">
        <v>705</v>
      </c>
      <c r="B305" s="8" t="s">
        <v>626</v>
      </c>
      <c r="C305" s="3" t="s">
        <v>626</v>
      </c>
      <c r="D305" s="4" t="s">
        <v>872</v>
      </c>
      <c r="E305" s="4" t="s">
        <v>873</v>
      </c>
      <c r="F305" s="5">
        <v>0</v>
      </c>
      <c r="G305" s="6">
        <v>0</v>
      </c>
      <c r="H305" s="7">
        <v>37.1</v>
      </c>
      <c r="I305" s="7">
        <v>50</v>
      </c>
      <c r="J305" s="7">
        <v>50</v>
      </c>
      <c r="K305" s="7">
        <f t="shared" si="17"/>
        <v>0</v>
      </c>
      <c r="L305" s="7">
        <f t="shared" si="18"/>
        <v>0</v>
      </c>
      <c r="M305" s="14">
        <f t="shared" si="16"/>
        <v>0</v>
      </c>
    </row>
    <row r="306" spans="1:13" ht="15" customHeight="1" x14ac:dyDescent="0.35">
      <c r="A306" s="3" t="s">
        <v>705</v>
      </c>
      <c r="B306" s="8" t="s">
        <v>420</v>
      </c>
      <c r="C306" s="3" t="s">
        <v>874</v>
      </c>
      <c r="D306" s="4" t="s">
        <v>875</v>
      </c>
      <c r="E306" s="4" t="s">
        <v>876</v>
      </c>
      <c r="F306" s="5">
        <v>0</v>
      </c>
      <c r="G306" s="6">
        <v>24</v>
      </c>
      <c r="H306" s="7">
        <v>18</v>
      </c>
      <c r="I306" s="7">
        <v>20</v>
      </c>
      <c r="J306" s="7">
        <v>20</v>
      </c>
      <c r="K306" s="7">
        <f t="shared" si="17"/>
        <v>432</v>
      </c>
      <c r="L306" s="7">
        <f t="shared" si="18"/>
        <v>480</v>
      </c>
      <c r="M306" s="14">
        <f t="shared" si="16"/>
        <v>480</v>
      </c>
    </row>
    <row r="307" spans="1:13" x14ac:dyDescent="0.35">
      <c r="A307" s="3" t="s">
        <v>705</v>
      </c>
      <c r="B307" s="8" t="s">
        <v>1839</v>
      </c>
      <c r="C307" s="3" t="s">
        <v>877</v>
      </c>
      <c r="D307" s="4" t="s">
        <v>878</v>
      </c>
      <c r="E307" s="4" t="s">
        <v>879</v>
      </c>
      <c r="F307" s="5">
        <v>0</v>
      </c>
      <c r="G307" s="10">
        <v>11</v>
      </c>
      <c r="H307" s="7">
        <v>169</v>
      </c>
      <c r="I307" s="7">
        <v>220</v>
      </c>
      <c r="J307" s="7">
        <v>220</v>
      </c>
      <c r="K307" s="7">
        <f t="shared" si="17"/>
        <v>1859</v>
      </c>
      <c r="L307" s="7">
        <f t="shared" si="18"/>
        <v>2420</v>
      </c>
      <c r="M307" s="14">
        <f t="shared" si="16"/>
        <v>2420</v>
      </c>
    </row>
    <row r="308" spans="1:13" x14ac:dyDescent="0.35">
      <c r="A308" s="3" t="s">
        <v>705</v>
      </c>
      <c r="B308" s="8" t="s">
        <v>1839</v>
      </c>
      <c r="C308" s="3" t="s">
        <v>877</v>
      </c>
      <c r="D308" s="4" t="s">
        <v>880</v>
      </c>
      <c r="E308" s="4" t="s">
        <v>881</v>
      </c>
      <c r="F308" s="5">
        <v>0.22700000000000001</v>
      </c>
      <c r="G308" s="10">
        <v>1</v>
      </c>
      <c r="H308" s="7">
        <v>130</v>
      </c>
      <c r="I308" s="7">
        <v>160</v>
      </c>
      <c r="J308" s="7">
        <v>160</v>
      </c>
      <c r="K308" s="7">
        <f t="shared" si="17"/>
        <v>130</v>
      </c>
      <c r="L308" s="7">
        <f t="shared" si="18"/>
        <v>160</v>
      </c>
      <c r="M308" s="14">
        <f t="shared" si="16"/>
        <v>160</v>
      </c>
    </row>
    <row r="309" spans="1:13" x14ac:dyDescent="0.35">
      <c r="A309" s="3" t="s">
        <v>705</v>
      </c>
      <c r="B309" s="8" t="s">
        <v>12</v>
      </c>
      <c r="C309" s="3" t="s">
        <v>108</v>
      </c>
      <c r="D309" s="4" t="s">
        <v>883</v>
      </c>
      <c r="E309" s="4" t="s">
        <v>884</v>
      </c>
      <c r="F309" s="5">
        <v>1</v>
      </c>
      <c r="G309" s="6">
        <v>1</v>
      </c>
      <c r="H309" s="7">
        <v>560</v>
      </c>
      <c r="I309" s="7">
        <v>700</v>
      </c>
      <c r="J309" s="7">
        <v>740</v>
      </c>
      <c r="K309" s="7">
        <f t="shared" si="17"/>
        <v>560</v>
      </c>
      <c r="L309" s="7">
        <f t="shared" si="18"/>
        <v>700</v>
      </c>
      <c r="M309" s="14">
        <f t="shared" si="16"/>
        <v>740</v>
      </c>
    </row>
    <row r="310" spans="1:13" x14ac:dyDescent="0.35">
      <c r="A310" s="3" t="s">
        <v>705</v>
      </c>
      <c r="B310" s="8" t="s">
        <v>1839</v>
      </c>
      <c r="C310" s="3" t="s">
        <v>882</v>
      </c>
      <c r="D310" s="4" t="s">
        <v>885</v>
      </c>
      <c r="E310" s="4" t="s">
        <v>886</v>
      </c>
      <c r="F310" s="5">
        <v>0.4</v>
      </c>
      <c r="G310" s="10">
        <v>2</v>
      </c>
      <c r="H310" s="7">
        <v>155</v>
      </c>
      <c r="I310" s="7">
        <v>200</v>
      </c>
      <c r="J310" s="7">
        <v>200</v>
      </c>
      <c r="K310" s="7">
        <f t="shared" si="17"/>
        <v>310</v>
      </c>
      <c r="L310" s="7">
        <f t="shared" si="18"/>
        <v>400</v>
      </c>
      <c r="M310" s="14">
        <f t="shared" si="16"/>
        <v>400</v>
      </c>
    </row>
    <row r="311" spans="1:13" x14ac:dyDescent="0.35">
      <c r="A311" s="3" t="s">
        <v>705</v>
      </c>
      <c r="B311" s="8" t="s">
        <v>1839</v>
      </c>
      <c r="C311" s="3" t="s">
        <v>882</v>
      </c>
      <c r="D311" s="4" t="s">
        <v>887</v>
      </c>
      <c r="E311" s="4" t="s">
        <v>888</v>
      </c>
      <c r="F311" s="5">
        <v>0.4</v>
      </c>
      <c r="G311" s="10">
        <v>4</v>
      </c>
      <c r="H311" s="7">
        <v>155</v>
      </c>
      <c r="I311" s="7">
        <v>200</v>
      </c>
      <c r="J311" s="7">
        <v>200</v>
      </c>
      <c r="K311" s="7">
        <f t="shared" si="17"/>
        <v>620</v>
      </c>
      <c r="L311" s="7">
        <f t="shared" si="18"/>
        <v>800</v>
      </c>
      <c r="M311" s="14">
        <f t="shared" si="16"/>
        <v>800</v>
      </c>
    </row>
    <row r="312" spans="1:13" x14ac:dyDescent="0.35">
      <c r="A312" s="3" t="s">
        <v>705</v>
      </c>
      <c r="B312" s="8" t="s">
        <v>1839</v>
      </c>
      <c r="C312" s="3" t="s">
        <v>882</v>
      </c>
      <c r="D312" s="4" t="s">
        <v>889</v>
      </c>
      <c r="E312" s="4" t="s">
        <v>890</v>
      </c>
      <c r="F312" s="5">
        <v>0.4</v>
      </c>
      <c r="G312" s="10">
        <v>2</v>
      </c>
      <c r="H312" s="7">
        <v>156</v>
      </c>
      <c r="I312" s="7">
        <v>200</v>
      </c>
      <c r="J312" s="7">
        <v>200</v>
      </c>
      <c r="K312" s="7">
        <f t="shared" si="17"/>
        <v>312</v>
      </c>
      <c r="L312" s="7">
        <f t="shared" si="18"/>
        <v>400</v>
      </c>
      <c r="M312" s="14">
        <f t="shared" si="16"/>
        <v>400</v>
      </c>
    </row>
    <row r="313" spans="1:13" x14ac:dyDescent="0.35">
      <c r="A313" s="3" t="s">
        <v>705</v>
      </c>
      <c r="B313" s="8" t="s">
        <v>1839</v>
      </c>
      <c r="C313" s="3" t="s">
        <v>882</v>
      </c>
      <c r="D313" s="4" t="s">
        <v>891</v>
      </c>
      <c r="E313" s="4" t="s">
        <v>892</v>
      </c>
      <c r="F313" s="5">
        <v>0.4</v>
      </c>
      <c r="G313" s="10">
        <v>1</v>
      </c>
      <c r="H313" s="7">
        <v>157.38</v>
      </c>
      <c r="I313" s="7">
        <v>200</v>
      </c>
      <c r="J313" s="7">
        <v>200</v>
      </c>
      <c r="K313" s="7">
        <f t="shared" si="17"/>
        <v>157.38</v>
      </c>
      <c r="L313" s="7">
        <f t="shared" si="18"/>
        <v>200</v>
      </c>
      <c r="M313" s="14">
        <f t="shared" si="16"/>
        <v>200</v>
      </c>
    </row>
    <row r="314" spans="1:13" x14ac:dyDescent="0.35">
      <c r="A314" s="3" t="s">
        <v>705</v>
      </c>
      <c r="B314" s="8" t="s">
        <v>1839</v>
      </c>
      <c r="C314" s="3" t="s">
        <v>882</v>
      </c>
      <c r="D314" s="4" t="s">
        <v>893</v>
      </c>
      <c r="E314" s="4" t="s">
        <v>894</v>
      </c>
      <c r="F314" s="5">
        <v>0.4</v>
      </c>
      <c r="G314" s="10">
        <v>2</v>
      </c>
      <c r="H314" s="7">
        <v>155</v>
      </c>
      <c r="I314" s="7">
        <v>200</v>
      </c>
      <c r="J314" s="7">
        <v>200</v>
      </c>
      <c r="K314" s="7">
        <f t="shared" si="17"/>
        <v>310</v>
      </c>
      <c r="L314" s="7">
        <f t="shared" si="18"/>
        <v>400</v>
      </c>
      <c r="M314" s="14">
        <f t="shared" si="16"/>
        <v>400</v>
      </c>
    </row>
    <row r="315" spans="1:13" x14ac:dyDescent="0.35">
      <c r="A315" s="3" t="s">
        <v>705</v>
      </c>
      <c r="B315" s="8" t="s">
        <v>1839</v>
      </c>
      <c r="C315" s="3" t="s">
        <v>882</v>
      </c>
      <c r="D315" s="4" t="s">
        <v>895</v>
      </c>
      <c r="E315" s="4" t="s">
        <v>896</v>
      </c>
      <c r="F315" s="5">
        <v>0.25</v>
      </c>
      <c r="G315" s="10">
        <v>3</v>
      </c>
      <c r="H315" s="7">
        <v>116.5</v>
      </c>
      <c r="I315" s="7">
        <v>150</v>
      </c>
      <c r="J315" s="7">
        <v>150</v>
      </c>
      <c r="K315" s="7">
        <f t="shared" si="17"/>
        <v>349.5</v>
      </c>
      <c r="L315" s="7">
        <f t="shared" si="18"/>
        <v>450</v>
      </c>
      <c r="M315" s="14">
        <f t="shared" si="16"/>
        <v>450</v>
      </c>
    </row>
    <row r="316" spans="1:13" x14ac:dyDescent="0.35">
      <c r="A316" s="3" t="s">
        <v>705</v>
      </c>
      <c r="B316" s="8" t="s">
        <v>1839</v>
      </c>
      <c r="C316" s="3" t="s">
        <v>882</v>
      </c>
      <c r="D316" s="4" t="s">
        <v>897</v>
      </c>
      <c r="E316" s="4" t="s">
        <v>898</v>
      </c>
      <c r="F316" s="5">
        <v>0.25</v>
      </c>
      <c r="G316" s="10">
        <v>8</v>
      </c>
      <c r="H316" s="7">
        <v>116.5</v>
      </c>
      <c r="I316" s="7">
        <v>150</v>
      </c>
      <c r="J316" s="7">
        <v>150</v>
      </c>
      <c r="K316" s="7">
        <f t="shared" si="17"/>
        <v>932</v>
      </c>
      <c r="L316" s="7">
        <f t="shared" si="18"/>
        <v>1200</v>
      </c>
      <c r="M316" s="14">
        <f t="shared" si="16"/>
        <v>1200</v>
      </c>
    </row>
    <row r="317" spans="1:13" x14ac:dyDescent="0.35">
      <c r="A317" s="3" t="s">
        <v>705</v>
      </c>
      <c r="B317" s="8" t="s">
        <v>1839</v>
      </c>
      <c r="C317" s="3" t="s">
        <v>882</v>
      </c>
      <c r="D317" s="4" t="s">
        <v>899</v>
      </c>
      <c r="E317" s="4" t="s">
        <v>900</v>
      </c>
      <c r="F317" s="5">
        <v>0.25</v>
      </c>
      <c r="G317" s="10">
        <v>2</v>
      </c>
      <c r="H317" s="7">
        <v>116.5</v>
      </c>
      <c r="I317" s="7">
        <v>150</v>
      </c>
      <c r="J317" s="7">
        <v>150</v>
      </c>
      <c r="K317" s="7">
        <f t="shared" si="17"/>
        <v>233</v>
      </c>
      <c r="L317" s="7">
        <f t="shared" si="18"/>
        <v>300</v>
      </c>
      <c r="M317" s="14">
        <f t="shared" si="16"/>
        <v>300</v>
      </c>
    </row>
    <row r="318" spans="1:13" x14ac:dyDescent="0.35">
      <c r="A318" s="3" t="s">
        <v>705</v>
      </c>
      <c r="B318" s="8" t="s">
        <v>1839</v>
      </c>
      <c r="C318" s="3" t="s">
        <v>882</v>
      </c>
      <c r="D318" s="4" t="s">
        <v>901</v>
      </c>
      <c r="E318" s="4" t="s">
        <v>902</v>
      </c>
      <c r="F318" s="5">
        <v>0.25</v>
      </c>
      <c r="G318" s="10">
        <v>3</v>
      </c>
      <c r="H318" s="7">
        <v>164</v>
      </c>
      <c r="I318" s="7">
        <v>210</v>
      </c>
      <c r="J318" s="7">
        <v>210</v>
      </c>
      <c r="K318" s="7">
        <f t="shared" si="17"/>
        <v>492</v>
      </c>
      <c r="L318" s="7">
        <f t="shared" si="18"/>
        <v>630</v>
      </c>
      <c r="M318" s="14">
        <f t="shared" si="16"/>
        <v>630</v>
      </c>
    </row>
    <row r="319" spans="1:13" x14ac:dyDescent="0.35">
      <c r="A319" s="3" t="s">
        <v>705</v>
      </c>
      <c r="B319" s="8" t="s">
        <v>1839</v>
      </c>
      <c r="C319" s="3" t="s">
        <v>903</v>
      </c>
      <c r="D319" s="4" t="s">
        <v>904</v>
      </c>
      <c r="E319" s="4" t="s">
        <v>905</v>
      </c>
      <c r="F319" s="5">
        <v>0.4</v>
      </c>
      <c r="G319" s="10">
        <v>1</v>
      </c>
      <c r="H319" s="7">
        <v>100</v>
      </c>
      <c r="I319" s="7">
        <v>140</v>
      </c>
      <c r="J319" s="7">
        <v>140</v>
      </c>
      <c r="K319" s="7">
        <f t="shared" si="17"/>
        <v>100</v>
      </c>
      <c r="L319" s="7">
        <f t="shared" si="18"/>
        <v>140</v>
      </c>
      <c r="M319" s="14">
        <f t="shared" si="16"/>
        <v>140</v>
      </c>
    </row>
    <row r="320" spans="1:13" x14ac:dyDescent="0.35">
      <c r="A320" s="3" t="s">
        <v>705</v>
      </c>
      <c r="B320" s="8" t="s">
        <v>1839</v>
      </c>
      <c r="C320" s="3" t="s">
        <v>903</v>
      </c>
      <c r="D320" s="4" t="s">
        <v>906</v>
      </c>
      <c r="E320" s="4" t="s">
        <v>907</v>
      </c>
      <c r="F320" s="5">
        <v>0.2</v>
      </c>
      <c r="G320" s="10">
        <v>6</v>
      </c>
      <c r="H320" s="7">
        <v>50</v>
      </c>
      <c r="I320" s="7">
        <v>70</v>
      </c>
      <c r="J320" s="7">
        <v>70</v>
      </c>
      <c r="K320" s="7">
        <f t="shared" si="17"/>
        <v>300</v>
      </c>
      <c r="L320" s="7">
        <f t="shared" si="18"/>
        <v>420</v>
      </c>
      <c r="M320" s="14">
        <f t="shared" si="16"/>
        <v>420</v>
      </c>
    </row>
    <row r="321" spans="1:13" x14ac:dyDescent="0.35">
      <c r="A321" s="3" t="s">
        <v>705</v>
      </c>
      <c r="B321" s="8" t="s">
        <v>1839</v>
      </c>
      <c r="C321" s="3" t="s">
        <v>903</v>
      </c>
      <c r="D321" s="4" t="s">
        <v>908</v>
      </c>
      <c r="E321" s="4" t="s">
        <v>909</v>
      </c>
      <c r="F321" s="5">
        <v>0.14000000000000001</v>
      </c>
      <c r="G321" s="10">
        <v>36</v>
      </c>
      <c r="H321" s="7">
        <v>48</v>
      </c>
      <c r="I321" s="7">
        <v>70</v>
      </c>
      <c r="J321" s="7">
        <v>70</v>
      </c>
      <c r="K321" s="7">
        <f t="shared" si="17"/>
        <v>1728</v>
      </c>
      <c r="L321" s="7">
        <f t="shared" si="18"/>
        <v>2520</v>
      </c>
      <c r="M321" s="14">
        <f t="shared" si="16"/>
        <v>2520</v>
      </c>
    </row>
    <row r="322" spans="1:13" x14ac:dyDescent="0.35">
      <c r="A322" s="3" t="s">
        <v>705</v>
      </c>
      <c r="B322" s="8" t="s">
        <v>1839</v>
      </c>
      <c r="C322" s="3" t="s">
        <v>903</v>
      </c>
      <c r="D322" s="4" t="s">
        <v>910</v>
      </c>
      <c r="E322" s="4" t="s">
        <v>911</v>
      </c>
      <c r="F322" s="5">
        <v>0.35</v>
      </c>
      <c r="G322" s="10">
        <v>20</v>
      </c>
      <c r="H322" s="7">
        <v>100</v>
      </c>
      <c r="I322" s="7">
        <v>130</v>
      </c>
      <c r="J322" s="7">
        <v>130</v>
      </c>
      <c r="K322" s="7">
        <f t="shared" si="17"/>
        <v>2000</v>
      </c>
      <c r="L322" s="7">
        <f t="shared" si="18"/>
        <v>2600</v>
      </c>
      <c r="M322" s="14">
        <f t="shared" si="16"/>
        <v>2600</v>
      </c>
    </row>
    <row r="323" spans="1:13" x14ac:dyDescent="0.35">
      <c r="A323" s="3" t="s">
        <v>705</v>
      </c>
      <c r="B323" s="8" t="s">
        <v>1839</v>
      </c>
      <c r="C323" s="3" t="s">
        <v>903</v>
      </c>
      <c r="D323" s="4" t="s">
        <v>912</v>
      </c>
      <c r="E323" s="4" t="s">
        <v>913</v>
      </c>
      <c r="F323" s="5">
        <v>0.35</v>
      </c>
      <c r="G323" s="10">
        <v>6</v>
      </c>
      <c r="H323" s="7">
        <v>73</v>
      </c>
      <c r="I323" s="7">
        <v>90</v>
      </c>
      <c r="J323" s="7">
        <v>90</v>
      </c>
      <c r="K323" s="7">
        <f t="shared" si="17"/>
        <v>438</v>
      </c>
      <c r="L323" s="7">
        <f t="shared" si="18"/>
        <v>540</v>
      </c>
      <c r="M323" s="14">
        <f t="shared" si="16"/>
        <v>540</v>
      </c>
    </row>
    <row r="324" spans="1:13" x14ac:dyDescent="0.35">
      <c r="A324" s="3" t="s">
        <v>705</v>
      </c>
      <c r="B324" s="8" t="s">
        <v>1839</v>
      </c>
      <c r="C324" s="3" t="s">
        <v>903</v>
      </c>
      <c r="D324" s="4" t="s">
        <v>914</v>
      </c>
      <c r="E324" s="4" t="s">
        <v>915</v>
      </c>
      <c r="F324" s="5">
        <v>0.35</v>
      </c>
      <c r="G324" s="10">
        <v>5</v>
      </c>
      <c r="H324" s="7">
        <v>76</v>
      </c>
      <c r="I324" s="7">
        <v>100</v>
      </c>
      <c r="J324" s="7">
        <v>100</v>
      </c>
      <c r="K324" s="7">
        <f t="shared" si="17"/>
        <v>380</v>
      </c>
      <c r="L324" s="7">
        <f t="shared" si="18"/>
        <v>500</v>
      </c>
      <c r="M324" s="14">
        <f t="shared" si="16"/>
        <v>500</v>
      </c>
    </row>
    <row r="325" spans="1:13" ht="15" customHeight="1" x14ac:dyDescent="0.35">
      <c r="A325" s="3" t="s">
        <v>925</v>
      </c>
      <c r="B325" s="8" t="s">
        <v>1840</v>
      </c>
      <c r="C325" s="3" t="s">
        <v>926</v>
      </c>
      <c r="D325" s="4" t="s">
        <v>927</v>
      </c>
      <c r="E325" s="4" t="s">
        <v>928</v>
      </c>
      <c r="F325" s="5">
        <v>0.5</v>
      </c>
      <c r="G325" s="6">
        <v>0</v>
      </c>
      <c r="H325" s="7">
        <v>241</v>
      </c>
      <c r="I325" s="7">
        <v>250</v>
      </c>
      <c r="J325" s="7">
        <v>250</v>
      </c>
      <c r="K325" s="7">
        <f t="shared" si="17"/>
        <v>0</v>
      </c>
      <c r="L325" s="7">
        <f t="shared" si="18"/>
        <v>0</v>
      </c>
      <c r="M325" s="14">
        <f t="shared" si="16"/>
        <v>0</v>
      </c>
    </row>
    <row r="326" spans="1:13" x14ac:dyDescent="0.35">
      <c r="A326" s="3" t="s">
        <v>925</v>
      </c>
      <c r="B326" s="8" t="s">
        <v>1840</v>
      </c>
      <c r="C326" s="3" t="s">
        <v>926</v>
      </c>
      <c r="D326" s="4" t="s">
        <v>929</v>
      </c>
      <c r="E326" s="4" t="s">
        <v>930</v>
      </c>
      <c r="F326" s="5">
        <v>1</v>
      </c>
      <c r="G326" s="6">
        <v>0</v>
      </c>
      <c r="H326" s="7">
        <v>557.79999999999995</v>
      </c>
      <c r="I326" s="7">
        <v>580</v>
      </c>
      <c r="J326" s="7">
        <v>580</v>
      </c>
      <c r="K326" s="7">
        <f t="shared" si="17"/>
        <v>0</v>
      </c>
      <c r="L326" s="7">
        <f t="shared" si="18"/>
        <v>0</v>
      </c>
      <c r="M326" s="14">
        <f t="shared" si="16"/>
        <v>0</v>
      </c>
    </row>
    <row r="327" spans="1:13" ht="15" customHeight="1" x14ac:dyDescent="0.35">
      <c r="A327" s="3" t="s">
        <v>925</v>
      </c>
      <c r="B327" s="8" t="s">
        <v>1840</v>
      </c>
      <c r="C327" s="3" t="s">
        <v>931</v>
      </c>
      <c r="D327" s="4" t="s">
        <v>932</v>
      </c>
      <c r="E327" s="4" t="s">
        <v>933</v>
      </c>
      <c r="F327" s="5">
        <v>1</v>
      </c>
      <c r="G327" s="6">
        <v>0</v>
      </c>
      <c r="H327" s="7">
        <v>440</v>
      </c>
      <c r="I327" s="7">
        <v>450</v>
      </c>
      <c r="J327" s="7">
        <v>450</v>
      </c>
      <c r="K327" s="7">
        <f t="shared" si="17"/>
        <v>0</v>
      </c>
      <c r="L327" s="7">
        <f t="shared" si="18"/>
        <v>0</v>
      </c>
      <c r="M327" s="14">
        <f t="shared" si="16"/>
        <v>0</v>
      </c>
    </row>
    <row r="328" spans="1:13" x14ac:dyDescent="0.35">
      <c r="A328" s="3" t="s">
        <v>925</v>
      </c>
      <c r="B328" s="8" t="s">
        <v>1840</v>
      </c>
      <c r="C328" s="3" t="s">
        <v>931</v>
      </c>
      <c r="D328" s="4" t="s">
        <v>934</v>
      </c>
      <c r="E328" s="4" t="s">
        <v>935</v>
      </c>
      <c r="F328" s="5">
        <v>1</v>
      </c>
      <c r="G328" s="6">
        <v>0</v>
      </c>
      <c r="H328" s="7">
        <v>428</v>
      </c>
      <c r="I328" s="7">
        <v>440</v>
      </c>
      <c r="J328" s="7">
        <v>440</v>
      </c>
      <c r="K328" s="7">
        <f t="shared" si="17"/>
        <v>0</v>
      </c>
      <c r="L328" s="7">
        <f t="shared" si="18"/>
        <v>0</v>
      </c>
      <c r="M328" s="14">
        <f t="shared" si="16"/>
        <v>0</v>
      </c>
    </row>
    <row r="329" spans="1:13" x14ac:dyDescent="0.35">
      <c r="A329" s="3" t="s">
        <v>925</v>
      </c>
      <c r="B329" s="8" t="s">
        <v>1840</v>
      </c>
      <c r="C329" s="3" t="s">
        <v>931</v>
      </c>
      <c r="D329" s="4" t="s">
        <v>936</v>
      </c>
      <c r="E329" s="4" t="s">
        <v>937</v>
      </c>
      <c r="F329" s="5">
        <v>1</v>
      </c>
      <c r="G329" s="6">
        <v>0</v>
      </c>
      <c r="H329" s="7">
        <v>382</v>
      </c>
      <c r="I329" s="7">
        <v>400</v>
      </c>
      <c r="J329" s="7">
        <v>400</v>
      </c>
      <c r="K329" s="7">
        <f t="shared" si="17"/>
        <v>0</v>
      </c>
      <c r="L329" s="7">
        <f t="shared" si="18"/>
        <v>0</v>
      </c>
      <c r="M329" s="14">
        <f t="shared" si="16"/>
        <v>0</v>
      </c>
    </row>
    <row r="330" spans="1:13" x14ac:dyDescent="0.35">
      <c r="A330" s="3" t="s">
        <v>938</v>
      </c>
      <c r="B330" s="3" t="s">
        <v>1841</v>
      </c>
      <c r="C330" s="3" t="s">
        <v>939</v>
      </c>
      <c r="D330" s="4" t="s">
        <v>940</v>
      </c>
      <c r="E330" s="4" t="s">
        <v>941</v>
      </c>
      <c r="F330" s="5">
        <v>0</v>
      </c>
      <c r="G330" s="6">
        <v>6</v>
      </c>
      <c r="H330" s="7">
        <v>40</v>
      </c>
      <c r="I330" s="7">
        <v>50</v>
      </c>
      <c r="J330" s="7">
        <v>50</v>
      </c>
      <c r="K330" s="7">
        <f t="shared" si="17"/>
        <v>240</v>
      </c>
      <c r="L330" s="7">
        <f t="shared" si="18"/>
        <v>300</v>
      </c>
      <c r="M330" s="14">
        <f t="shared" si="16"/>
        <v>300</v>
      </c>
    </row>
    <row r="331" spans="1:13" ht="15" customHeight="1" x14ac:dyDescent="0.35">
      <c r="A331" s="3" t="s">
        <v>938</v>
      </c>
      <c r="B331" s="3" t="s">
        <v>1841</v>
      </c>
      <c r="C331" s="3" t="s">
        <v>942</v>
      </c>
      <c r="D331" s="4" t="s">
        <v>943</v>
      </c>
      <c r="E331" s="4" t="s">
        <v>944</v>
      </c>
      <c r="F331" s="5">
        <v>0</v>
      </c>
      <c r="G331" s="6">
        <v>72</v>
      </c>
      <c r="H331" s="7">
        <v>23.9</v>
      </c>
      <c r="I331" s="7">
        <v>30</v>
      </c>
      <c r="J331" s="7">
        <v>30</v>
      </c>
      <c r="K331" s="7">
        <f t="shared" si="17"/>
        <v>1720.8</v>
      </c>
      <c r="L331" s="7">
        <f t="shared" si="18"/>
        <v>2160</v>
      </c>
      <c r="M331" s="14">
        <f t="shared" si="16"/>
        <v>2160</v>
      </c>
    </row>
    <row r="332" spans="1:13" x14ac:dyDescent="0.35">
      <c r="A332" s="3" t="s">
        <v>938</v>
      </c>
      <c r="B332" s="3" t="s">
        <v>1841</v>
      </c>
      <c r="C332" s="3" t="s">
        <v>942</v>
      </c>
      <c r="D332" s="4" t="s">
        <v>945</v>
      </c>
      <c r="E332" s="4" t="s">
        <v>946</v>
      </c>
      <c r="F332" s="5">
        <v>0</v>
      </c>
      <c r="G332" s="6">
        <v>14</v>
      </c>
      <c r="H332" s="7">
        <v>40</v>
      </c>
      <c r="I332" s="7">
        <v>50</v>
      </c>
      <c r="J332" s="7">
        <v>50</v>
      </c>
      <c r="K332" s="7">
        <f t="shared" si="17"/>
        <v>560</v>
      </c>
      <c r="L332" s="7">
        <f t="shared" si="18"/>
        <v>700</v>
      </c>
      <c r="M332" s="14">
        <f t="shared" ref="M332:M395" si="19">J332*G332</f>
        <v>700</v>
      </c>
    </row>
    <row r="333" spans="1:13" x14ac:dyDescent="0.35">
      <c r="A333" s="3" t="s">
        <v>938</v>
      </c>
      <c r="B333" s="3" t="s">
        <v>1841</v>
      </c>
      <c r="C333" s="3" t="s">
        <v>942</v>
      </c>
      <c r="D333" s="4" t="s">
        <v>947</v>
      </c>
      <c r="E333" s="4" t="s">
        <v>948</v>
      </c>
      <c r="F333" s="5">
        <v>0</v>
      </c>
      <c r="G333" s="6">
        <v>1</v>
      </c>
      <c r="H333" s="7">
        <v>200</v>
      </c>
      <c r="I333" s="7">
        <v>250</v>
      </c>
      <c r="J333" s="7">
        <v>250</v>
      </c>
      <c r="K333" s="7">
        <f t="shared" si="17"/>
        <v>200</v>
      </c>
      <c r="L333" s="7">
        <f t="shared" si="18"/>
        <v>250</v>
      </c>
      <c r="M333" s="14">
        <f t="shared" si="19"/>
        <v>250</v>
      </c>
    </row>
    <row r="334" spans="1:13" x14ac:dyDescent="0.35">
      <c r="A334" s="3" t="s">
        <v>938</v>
      </c>
      <c r="B334" s="3" t="s">
        <v>1841</v>
      </c>
      <c r="C334" s="3" t="s">
        <v>942</v>
      </c>
      <c r="D334" s="4" t="s">
        <v>949</v>
      </c>
      <c r="E334" s="4" t="s">
        <v>950</v>
      </c>
      <c r="F334" s="5">
        <v>0</v>
      </c>
      <c r="G334" s="6">
        <v>4</v>
      </c>
      <c r="H334" s="7">
        <v>200</v>
      </c>
      <c r="I334" s="7">
        <v>250</v>
      </c>
      <c r="J334" s="7">
        <v>250</v>
      </c>
      <c r="K334" s="7">
        <f t="shared" si="17"/>
        <v>800</v>
      </c>
      <c r="L334" s="7">
        <f t="shared" si="18"/>
        <v>1000</v>
      </c>
      <c r="M334" s="14">
        <f t="shared" si="19"/>
        <v>1000</v>
      </c>
    </row>
    <row r="335" spans="1:13" x14ac:dyDescent="0.35">
      <c r="A335" s="3" t="s">
        <v>938</v>
      </c>
      <c r="B335" s="3" t="s">
        <v>1841</v>
      </c>
      <c r="C335" s="3" t="s">
        <v>942</v>
      </c>
      <c r="D335" s="4" t="s">
        <v>951</v>
      </c>
      <c r="E335" s="4" t="s">
        <v>952</v>
      </c>
      <c r="F335" s="5">
        <v>0</v>
      </c>
      <c r="G335" s="6">
        <v>24</v>
      </c>
      <c r="H335" s="7">
        <v>63</v>
      </c>
      <c r="I335" s="7">
        <v>80</v>
      </c>
      <c r="J335" s="7">
        <v>80</v>
      </c>
      <c r="K335" s="7">
        <f t="shared" si="17"/>
        <v>1512</v>
      </c>
      <c r="L335" s="7">
        <f t="shared" si="18"/>
        <v>1920</v>
      </c>
      <c r="M335" s="14">
        <f t="shared" si="19"/>
        <v>1920</v>
      </c>
    </row>
    <row r="336" spans="1:13" x14ac:dyDescent="0.35">
      <c r="A336" s="3" t="s">
        <v>938</v>
      </c>
      <c r="B336" s="3" t="s">
        <v>1841</v>
      </c>
      <c r="C336" s="3" t="s">
        <v>942</v>
      </c>
      <c r="D336" s="4" t="s">
        <v>953</v>
      </c>
      <c r="E336" s="4" t="s">
        <v>954</v>
      </c>
      <c r="F336" s="5">
        <v>0</v>
      </c>
      <c r="G336" s="6">
        <v>28</v>
      </c>
      <c r="H336" s="7">
        <v>63</v>
      </c>
      <c r="I336" s="7">
        <v>80</v>
      </c>
      <c r="J336" s="7">
        <v>80</v>
      </c>
      <c r="K336" s="7">
        <f t="shared" si="17"/>
        <v>1764</v>
      </c>
      <c r="L336" s="7">
        <f t="shared" si="18"/>
        <v>2240</v>
      </c>
      <c r="M336" s="14">
        <f t="shared" si="19"/>
        <v>2240</v>
      </c>
    </row>
    <row r="337" spans="1:13" x14ac:dyDescent="0.35">
      <c r="A337" s="3" t="s">
        <v>938</v>
      </c>
      <c r="B337" s="3" t="s">
        <v>1841</v>
      </c>
      <c r="C337" s="3" t="s">
        <v>942</v>
      </c>
      <c r="D337" s="4" t="s">
        <v>955</v>
      </c>
      <c r="E337" s="4" t="s">
        <v>956</v>
      </c>
      <c r="F337" s="5">
        <v>0</v>
      </c>
      <c r="G337" s="6">
        <v>2</v>
      </c>
      <c r="H337" s="7">
        <v>182.71</v>
      </c>
      <c r="I337" s="7">
        <v>200</v>
      </c>
      <c r="J337" s="7">
        <v>200</v>
      </c>
      <c r="K337" s="7">
        <f t="shared" si="17"/>
        <v>365.42</v>
      </c>
      <c r="L337" s="7">
        <f t="shared" si="18"/>
        <v>400</v>
      </c>
      <c r="M337" s="14">
        <f t="shared" si="19"/>
        <v>400</v>
      </c>
    </row>
    <row r="338" spans="1:13" x14ac:dyDescent="0.35">
      <c r="A338" s="3" t="s">
        <v>938</v>
      </c>
      <c r="B338" s="3" t="s">
        <v>1841</v>
      </c>
      <c r="C338" s="3" t="s">
        <v>942</v>
      </c>
      <c r="D338" s="4" t="s">
        <v>957</v>
      </c>
      <c r="E338" s="4" t="s">
        <v>958</v>
      </c>
      <c r="F338" s="5">
        <v>0</v>
      </c>
      <c r="G338" s="6">
        <v>0</v>
      </c>
      <c r="H338" s="7">
        <v>41</v>
      </c>
      <c r="I338" s="7">
        <v>50</v>
      </c>
      <c r="J338" s="7">
        <v>50</v>
      </c>
      <c r="K338" s="7">
        <f t="shared" si="17"/>
        <v>0</v>
      </c>
      <c r="L338" s="7">
        <f t="shared" si="18"/>
        <v>0</v>
      </c>
      <c r="M338" s="14">
        <f t="shared" si="19"/>
        <v>0</v>
      </c>
    </row>
    <row r="339" spans="1:13" x14ac:dyDescent="0.35">
      <c r="A339" s="3" t="s">
        <v>938</v>
      </c>
      <c r="B339" s="3" t="s">
        <v>1841</v>
      </c>
      <c r="C339" s="3" t="s">
        <v>942</v>
      </c>
      <c r="D339" s="4" t="s">
        <v>959</v>
      </c>
      <c r="E339" s="4" t="s">
        <v>960</v>
      </c>
      <c r="F339" s="5">
        <v>0</v>
      </c>
      <c r="G339" s="6">
        <v>29</v>
      </c>
      <c r="H339" s="7">
        <v>33.22</v>
      </c>
      <c r="I339" s="7">
        <v>40</v>
      </c>
      <c r="J339" s="7">
        <v>40</v>
      </c>
      <c r="K339" s="7">
        <f t="shared" si="17"/>
        <v>963.38</v>
      </c>
      <c r="L339" s="7">
        <f t="shared" si="18"/>
        <v>1160</v>
      </c>
      <c r="M339" s="14">
        <f t="shared" si="19"/>
        <v>1160</v>
      </c>
    </row>
    <row r="340" spans="1:13" x14ac:dyDescent="0.35">
      <c r="A340" s="3" t="s">
        <v>938</v>
      </c>
      <c r="B340" s="3" t="s">
        <v>1841</v>
      </c>
      <c r="C340" s="3" t="s">
        <v>942</v>
      </c>
      <c r="D340" s="4" t="s">
        <v>961</v>
      </c>
      <c r="E340" s="4" t="s">
        <v>962</v>
      </c>
      <c r="F340" s="5">
        <v>0</v>
      </c>
      <c r="G340" s="6">
        <v>1</v>
      </c>
      <c r="H340" s="7">
        <v>207.62</v>
      </c>
      <c r="I340" s="7">
        <v>230</v>
      </c>
      <c r="J340" s="7">
        <v>230</v>
      </c>
      <c r="K340" s="7">
        <f t="shared" si="17"/>
        <v>207.62</v>
      </c>
      <c r="L340" s="7">
        <f t="shared" si="18"/>
        <v>230</v>
      </c>
      <c r="M340" s="14">
        <f t="shared" si="19"/>
        <v>230</v>
      </c>
    </row>
    <row r="341" spans="1:13" x14ac:dyDescent="0.35">
      <c r="A341" s="3" t="s">
        <v>938</v>
      </c>
      <c r="B341" s="3" t="s">
        <v>1841</v>
      </c>
      <c r="C341" s="3" t="s">
        <v>942</v>
      </c>
      <c r="D341" s="4" t="s">
        <v>404</v>
      </c>
      <c r="E341" s="4" t="s">
        <v>963</v>
      </c>
      <c r="F341" s="5">
        <v>0</v>
      </c>
      <c r="G341" s="6">
        <v>0</v>
      </c>
      <c r="H341" s="7">
        <v>23.75</v>
      </c>
      <c r="I341" s="7">
        <v>30</v>
      </c>
      <c r="J341" s="7">
        <v>30</v>
      </c>
      <c r="K341" s="7">
        <f t="shared" ref="K341:K404" si="20">H341*G341</f>
        <v>0</v>
      </c>
      <c r="L341" s="7">
        <f t="shared" ref="L341:L404" si="21">I341*G341</f>
        <v>0</v>
      </c>
      <c r="M341" s="14">
        <f t="shared" si="19"/>
        <v>0</v>
      </c>
    </row>
    <row r="342" spans="1:13" x14ac:dyDescent="0.35">
      <c r="A342" s="3" t="s">
        <v>938</v>
      </c>
      <c r="B342" s="3" t="s">
        <v>1841</v>
      </c>
      <c r="C342" s="3" t="s">
        <v>942</v>
      </c>
      <c r="D342" s="4" t="s">
        <v>413</v>
      </c>
      <c r="E342" s="4" t="s">
        <v>964</v>
      </c>
      <c r="F342" s="5">
        <v>0</v>
      </c>
      <c r="G342" s="6">
        <v>0</v>
      </c>
      <c r="H342" s="7">
        <v>23.958300000000001</v>
      </c>
      <c r="I342" s="7">
        <v>30</v>
      </c>
      <c r="J342" s="7">
        <v>30</v>
      </c>
      <c r="K342" s="7">
        <f t="shared" si="20"/>
        <v>0</v>
      </c>
      <c r="L342" s="7">
        <f t="shared" si="21"/>
        <v>0</v>
      </c>
      <c r="M342" s="14">
        <f t="shared" si="19"/>
        <v>0</v>
      </c>
    </row>
    <row r="343" spans="1:13" x14ac:dyDescent="0.35">
      <c r="A343" s="3" t="s">
        <v>938</v>
      </c>
      <c r="B343" s="3" t="s">
        <v>1841</v>
      </c>
      <c r="C343" s="3" t="s">
        <v>942</v>
      </c>
      <c r="D343" s="4" t="s">
        <v>965</v>
      </c>
      <c r="E343" s="4" t="s">
        <v>966</v>
      </c>
      <c r="F343" s="5">
        <v>0</v>
      </c>
      <c r="G343" s="6">
        <v>34</v>
      </c>
      <c r="H343" s="7">
        <v>63</v>
      </c>
      <c r="I343" s="7">
        <v>80</v>
      </c>
      <c r="J343" s="7">
        <v>80</v>
      </c>
      <c r="K343" s="7">
        <f t="shared" si="20"/>
        <v>2142</v>
      </c>
      <c r="L343" s="7">
        <f t="shared" si="21"/>
        <v>2720</v>
      </c>
      <c r="M343" s="14">
        <f t="shared" si="19"/>
        <v>2720</v>
      </c>
    </row>
    <row r="344" spans="1:13" x14ac:dyDescent="0.35">
      <c r="A344" s="3" t="s">
        <v>938</v>
      </c>
      <c r="B344" s="3" t="s">
        <v>1841</v>
      </c>
      <c r="C344" s="3" t="s">
        <v>942</v>
      </c>
      <c r="D344" s="4" t="s">
        <v>967</v>
      </c>
      <c r="E344" s="4" t="s">
        <v>968</v>
      </c>
      <c r="F344" s="5">
        <v>0</v>
      </c>
      <c r="G344" s="6">
        <v>6</v>
      </c>
      <c r="H344" s="7">
        <v>40</v>
      </c>
      <c r="I344" s="7">
        <v>50</v>
      </c>
      <c r="J344" s="7">
        <v>50</v>
      </c>
      <c r="K344" s="7">
        <f t="shared" si="20"/>
        <v>240</v>
      </c>
      <c r="L344" s="7">
        <f t="shared" si="21"/>
        <v>300</v>
      </c>
      <c r="M344" s="14">
        <f t="shared" si="19"/>
        <v>300</v>
      </c>
    </row>
    <row r="345" spans="1:13" x14ac:dyDescent="0.35">
      <c r="A345" s="3" t="s">
        <v>938</v>
      </c>
      <c r="B345" s="3" t="s">
        <v>1841</v>
      </c>
      <c r="C345" s="3" t="s">
        <v>969</v>
      </c>
      <c r="D345" s="4" t="s">
        <v>970</v>
      </c>
      <c r="E345" s="4" t="s">
        <v>971</v>
      </c>
      <c r="F345" s="5">
        <v>0</v>
      </c>
      <c r="G345" s="6">
        <v>10</v>
      </c>
      <c r="H345" s="7">
        <v>63</v>
      </c>
      <c r="I345" s="7">
        <v>80</v>
      </c>
      <c r="J345" s="7">
        <v>80</v>
      </c>
      <c r="K345" s="7">
        <f t="shared" si="20"/>
        <v>630</v>
      </c>
      <c r="L345" s="7">
        <f t="shared" si="21"/>
        <v>800</v>
      </c>
      <c r="M345" s="14">
        <f t="shared" si="19"/>
        <v>800</v>
      </c>
    </row>
    <row r="346" spans="1:13" x14ac:dyDescent="0.35">
      <c r="A346" s="3" t="s">
        <v>938</v>
      </c>
      <c r="B346" s="3" t="s">
        <v>1841</v>
      </c>
      <c r="C346" s="3" t="s">
        <v>969</v>
      </c>
      <c r="D346" s="4" t="s">
        <v>972</v>
      </c>
      <c r="E346" s="4" t="s">
        <v>973</v>
      </c>
      <c r="F346" s="5">
        <v>0</v>
      </c>
      <c r="G346" s="6">
        <v>0</v>
      </c>
      <c r="H346" s="7">
        <v>80</v>
      </c>
      <c r="I346" s="7">
        <v>100</v>
      </c>
      <c r="J346" s="7">
        <v>100</v>
      </c>
      <c r="K346" s="7">
        <f t="shared" si="20"/>
        <v>0</v>
      </c>
      <c r="L346" s="7">
        <f t="shared" si="21"/>
        <v>0</v>
      </c>
      <c r="M346" s="14">
        <f t="shared" si="19"/>
        <v>0</v>
      </c>
    </row>
    <row r="347" spans="1:13" x14ac:dyDescent="0.35">
      <c r="A347" s="3" t="s">
        <v>938</v>
      </c>
      <c r="B347" s="3" t="s">
        <v>1841</v>
      </c>
      <c r="C347" s="3" t="s">
        <v>969</v>
      </c>
      <c r="D347" s="4" t="s">
        <v>974</v>
      </c>
      <c r="E347" s="4" t="s">
        <v>975</v>
      </c>
      <c r="F347" s="5">
        <v>0</v>
      </c>
      <c r="G347" s="6">
        <v>6</v>
      </c>
      <c r="H347" s="7">
        <v>63</v>
      </c>
      <c r="I347" s="7">
        <v>80</v>
      </c>
      <c r="J347" s="7">
        <v>80</v>
      </c>
      <c r="K347" s="7">
        <f t="shared" si="20"/>
        <v>378</v>
      </c>
      <c r="L347" s="7">
        <f t="shared" si="21"/>
        <v>480</v>
      </c>
      <c r="M347" s="14">
        <f t="shared" si="19"/>
        <v>480</v>
      </c>
    </row>
    <row r="348" spans="1:13" x14ac:dyDescent="0.35">
      <c r="A348" s="3" t="s">
        <v>938</v>
      </c>
      <c r="B348" s="3" t="s">
        <v>1841</v>
      </c>
      <c r="C348" s="3" t="s">
        <v>969</v>
      </c>
      <c r="D348" s="4" t="s">
        <v>976</v>
      </c>
      <c r="E348" s="4" t="s">
        <v>977</v>
      </c>
      <c r="F348" s="5">
        <v>0</v>
      </c>
      <c r="G348" s="6">
        <v>10</v>
      </c>
      <c r="H348" s="7">
        <v>63</v>
      </c>
      <c r="I348" s="7">
        <v>80</v>
      </c>
      <c r="J348" s="7">
        <v>80</v>
      </c>
      <c r="K348" s="7">
        <f t="shared" si="20"/>
        <v>630</v>
      </c>
      <c r="L348" s="7">
        <f t="shared" si="21"/>
        <v>800</v>
      </c>
      <c r="M348" s="14">
        <f t="shared" si="19"/>
        <v>800</v>
      </c>
    </row>
    <row r="349" spans="1:13" ht="15" customHeight="1" x14ac:dyDescent="0.35">
      <c r="A349" s="3" t="s">
        <v>938</v>
      </c>
      <c r="B349" s="3" t="s">
        <v>1841</v>
      </c>
      <c r="C349" s="3" t="s">
        <v>978</v>
      </c>
      <c r="D349" s="4" t="s">
        <v>979</v>
      </c>
      <c r="E349" s="4" t="s">
        <v>980</v>
      </c>
      <c r="F349" s="5">
        <v>0</v>
      </c>
      <c r="G349" s="6">
        <v>20</v>
      </c>
      <c r="H349" s="7">
        <v>33.22</v>
      </c>
      <c r="I349" s="7">
        <v>35</v>
      </c>
      <c r="J349" s="7">
        <v>35</v>
      </c>
      <c r="K349" s="7">
        <f t="shared" si="20"/>
        <v>664.4</v>
      </c>
      <c r="L349" s="7">
        <f t="shared" si="21"/>
        <v>700</v>
      </c>
      <c r="M349" s="14">
        <f t="shared" si="19"/>
        <v>700</v>
      </c>
    </row>
    <row r="350" spans="1:13" x14ac:dyDescent="0.35">
      <c r="A350" s="3" t="s">
        <v>938</v>
      </c>
      <c r="B350" s="3" t="s">
        <v>1841</v>
      </c>
      <c r="C350" s="3" t="s">
        <v>978</v>
      </c>
      <c r="D350" s="4" t="s">
        <v>981</v>
      </c>
      <c r="E350" s="4" t="s">
        <v>982</v>
      </c>
      <c r="F350" s="5">
        <v>0</v>
      </c>
      <c r="G350" s="6">
        <v>15</v>
      </c>
      <c r="H350" s="7">
        <v>21.85</v>
      </c>
      <c r="I350" s="7">
        <v>30</v>
      </c>
      <c r="J350" s="7">
        <v>30</v>
      </c>
      <c r="K350" s="7">
        <f t="shared" si="20"/>
        <v>327.75</v>
      </c>
      <c r="L350" s="7">
        <f t="shared" si="21"/>
        <v>450</v>
      </c>
      <c r="M350" s="14">
        <f t="shared" si="19"/>
        <v>450</v>
      </c>
    </row>
    <row r="351" spans="1:13" x14ac:dyDescent="0.35">
      <c r="A351" s="3" t="s">
        <v>938</v>
      </c>
      <c r="B351" s="3" t="s">
        <v>1841</v>
      </c>
      <c r="C351" s="3" t="s">
        <v>978</v>
      </c>
      <c r="D351" s="4" t="s">
        <v>983</v>
      </c>
      <c r="E351" s="4" t="s">
        <v>984</v>
      </c>
      <c r="F351" s="5">
        <v>0</v>
      </c>
      <c r="G351" s="6">
        <v>21</v>
      </c>
      <c r="H351" s="7">
        <v>38.3354</v>
      </c>
      <c r="I351" s="7">
        <v>45</v>
      </c>
      <c r="J351" s="7">
        <v>45</v>
      </c>
      <c r="K351" s="7">
        <f t="shared" si="20"/>
        <v>805.04340000000002</v>
      </c>
      <c r="L351" s="7">
        <f t="shared" si="21"/>
        <v>945</v>
      </c>
      <c r="M351" s="14">
        <f t="shared" si="19"/>
        <v>945</v>
      </c>
    </row>
    <row r="352" spans="1:13" x14ac:dyDescent="0.35">
      <c r="A352" s="3" t="s">
        <v>938</v>
      </c>
      <c r="B352" s="3" t="s">
        <v>1841</v>
      </c>
      <c r="C352" s="3" t="s">
        <v>978</v>
      </c>
      <c r="D352" s="4" t="s">
        <v>985</v>
      </c>
      <c r="E352" s="4" t="s">
        <v>986</v>
      </c>
      <c r="F352" s="5">
        <v>0</v>
      </c>
      <c r="G352" s="6">
        <v>14</v>
      </c>
      <c r="H352" s="7">
        <v>33.218800000000002</v>
      </c>
      <c r="I352" s="7">
        <v>35</v>
      </c>
      <c r="J352" s="7">
        <v>35</v>
      </c>
      <c r="K352" s="7">
        <f t="shared" si="20"/>
        <v>465.06320000000005</v>
      </c>
      <c r="L352" s="7">
        <f t="shared" si="21"/>
        <v>490</v>
      </c>
      <c r="M352" s="14">
        <f t="shared" si="19"/>
        <v>490</v>
      </c>
    </row>
    <row r="353" spans="1:13" x14ac:dyDescent="0.35">
      <c r="A353" s="3" t="s">
        <v>938</v>
      </c>
      <c r="B353" s="8" t="s">
        <v>12</v>
      </c>
      <c r="C353" s="3" t="s">
        <v>14</v>
      </c>
      <c r="D353" s="4" t="s">
        <v>987</v>
      </c>
      <c r="E353" s="4" t="s">
        <v>988</v>
      </c>
      <c r="F353" s="5">
        <v>0.5</v>
      </c>
      <c r="G353" s="6">
        <v>9</v>
      </c>
      <c r="H353" s="7">
        <v>90</v>
      </c>
      <c r="I353" s="7">
        <v>120</v>
      </c>
      <c r="J353" s="7">
        <v>120</v>
      </c>
      <c r="K353" s="7">
        <f t="shared" si="20"/>
        <v>810</v>
      </c>
      <c r="L353" s="7">
        <f t="shared" si="21"/>
        <v>1080</v>
      </c>
      <c r="M353" s="14">
        <f t="shared" si="19"/>
        <v>1080</v>
      </c>
    </row>
    <row r="354" spans="1:13" x14ac:dyDescent="0.35">
      <c r="A354" s="3" t="s">
        <v>938</v>
      </c>
      <c r="B354" s="8" t="s">
        <v>989</v>
      </c>
      <c r="C354" s="3" t="s">
        <v>989</v>
      </c>
      <c r="D354" s="4" t="s">
        <v>990</v>
      </c>
      <c r="E354" s="4" t="s">
        <v>991</v>
      </c>
      <c r="F354" s="5">
        <v>0</v>
      </c>
      <c r="G354" s="6">
        <v>1</v>
      </c>
      <c r="H354" s="7">
        <v>130</v>
      </c>
      <c r="I354" s="7">
        <v>150</v>
      </c>
      <c r="J354" s="7">
        <v>150</v>
      </c>
      <c r="K354" s="7">
        <f t="shared" si="20"/>
        <v>130</v>
      </c>
      <c r="L354" s="7">
        <f t="shared" si="21"/>
        <v>150</v>
      </c>
      <c r="M354" s="14">
        <f t="shared" si="19"/>
        <v>150</v>
      </c>
    </row>
    <row r="355" spans="1:13" x14ac:dyDescent="0.35">
      <c r="A355" s="3" t="s">
        <v>938</v>
      </c>
      <c r="B355" s="8" t="s">
        <v>989</v>
      </c>
      <c r="C355" s="3" t="s">
        <v>989</v>
      </c>
      <c r="D355" s="4" t="s">
        <v>992</v>
      </c>
      <c r="E355" s="4" t="s">
        <v>993</v>
      </c>
      <c r="F355" s="5">
        <v>0</v>
      </c>
      <c r="G355" s="6">
        <v>1</v>
      </c>
      <c r="H355" s="7">
        <v>170</v>
      </c>
      <c r="I355" s="7">
        <v>200</v>
      </c>
      <c r="J355" s="7">
        <v>200</v>
      </c>
      <c r="K355" s="7">
        <f t="shared" si="20"/>
        <v>170</v>
      </c>
      <c r="L355" s="7">
        <f t="shared" si="21"/>
        <v>200</v>
      </c>
      <c r="M355" s="14">
        <f t="shared" si="19"/>
        <v>200</v>
      </c>
    </row>
    <row r="356" spans="1:13" ht="15" customHeight="1" x14ac:dyDescent="0.35">
      <c r="A356" s="3" t="s">
        <v>938</v>
      </c>
      <c r="B356" s="8" t="s">
        <v>1842</v>
      </c>
      <c r="C356" s="3" t="s">
        <v>997</v>
      </c>
      <c r="D356" s="4" t="s">
        <v>1002</v>
      </c>
      <c r="E356" s="4" t="s">
        <v>1003</v>
      </c>
      <c r="F356" s="5">
        <v>0.66</v>
      </c>
      <c r="G356" s="10">
        <v>1</v>
      </c>
      <c r="H356" s="7">
        <v>570</v>
      </c>
      <c r="I356" s="7">
        <v>700</v>
      </c>
      <c r="J356" s="7">
        <v>800</v>
      </c>
      <c r="K356" s="7">
        <f t="shared" si="20"/>
        <v>570</v>
      </c>
      <c r="L356" s="7">
        <f t="shared" si="21"/>
        <v>700</v>
      </c>
      <c r="M356" s="14">
        <f t="shared" si="19"/>
        <v>800</v>
      </c>
    </row>
    <row r="357" spans="1:13" x14ac:dyDescent="0.35">
      <c r="A357" s="3" t="s">
        <v>938</v>
      </c>
      <c r="B357" s="8" t="s">
        <v>1842</v>
      </c>
      <c r="C357" s="3" t="s">
        <v>997</v>
      </c>
      <c r="D357" s="4" t="s">
        <v>1004</v>
      </c>
      <c r="E357" s="4" t="s">
        <v>1005</v>
      </c>
      <c r="F357" s="5">
        <v>0.66</v>
      </c>
      <c r="G357" s="10">
        <v>1</v>
      </c>
      <c r="H357" s="7">
        <v>570</v>
      </c>
      <c r="I357" s="7">
        <v>700</v>
      </c>
      <c r="J357" s="7">
        <v>800</v>
      </c>
      <c r="K357" s="7">
        <f t="shared" si="20"/>
        <v>570</v>
      </c>
      <c r="L357" s="7">
        <f t="shared" si="21"/>
        <v>700</v>
      </c>
      <c r="M357" s="14">
        <f t="shared" si="19"/>
        <v>800</v>
      </c>
    </row>
    <row r="358" spans="1:13" x14ac:dyDescent="0.35">
      <c r="A358" s="3" t="s">
        <v>938</v>
      </c>
      <c r="B358" s="8" t="s">
        <v>1842</v>
      </c>
      <c r="C358" s="3" t="s">
        <v>994</v>
      </c>
      <c r="D358" s="4" t="s">
        <v>995</v>
      </c>
      <c r="E358" s="4" t="s">
        <v>996</v>
      </c>
      <c r="F358" s="5">
        <v>0</v>
      </c>
      <c r="G358" s="10">
        <v>2</v>
      </c>
      <c r="H358" s="7">
        <v>83</v>
      </c>
      <c r="I358" s="7">
        <v>100</v>
      </c>
      <c r="J358" s="7">
        <v>100</v>
      </c>
      <c r="K358" s="7">
        <f t="shared" si="20"/>
        <v>166</v>
      </c>
      <c r="L358" s="7">
        <f t="shared" si="21"/>
        <v>200</v>
      </c>
      <c r="M358" s="14">
        <f t="shared" si="19"/>
        <v>200</v>
      </c>
    </row>
    <row r="359" spans="1:13" x14ac:dyDescent="0.35">
      <c r="A359" s="3" t="s">
        <v>938</v>
      </c>
      <c r="B359" s="8" t="s">
        <v>1842</v>
      </c>
      <c r="C359" s="3" t="s">
        <v>1006</v>
      </c>
      <c r="D359" s="4" t="s">
        <v>1007</v>
      </c>
      <c r="E359" s="4" t="s">
        <v>1008</v>
      </c>
      <c r="F359" s="5">
        <v>0.5</v>
      </c>
      <c r="G359" s="10">
        <v>2</v>
      </c>
      <c r="H359" s="7">
        <v>192.5</v>
      </c>
      <c r="I359" s="7">
        <v>250</v>
      </c>
      <c r="J359" s="7">
        <v>300</v>
      </c>
      <c r="K359" s="7">
        <f t="shared" si="20"/>
        <v>385</v>
      </c>
      <c r="L359" s="7">
        <f t="shared" si="21"/>
        <v>500</v>
      </c>
      <c r="M359" s="14">
        <f t="shared" si="19"/>
        <v>600</v>
      </c>
    </row>
    <row r="360" spans="1:13" x14ac:dyDescent="0.35">
      <c r="A360" s="3" t="s">
        <v>938</v>
      </c>
      <c r="B360" s="8" t="s">
        <v>1842</v>
      </c>
      <c r="C360" s="3" t="s">
        <v>997</v>
      </c>
      <c r="D360" s="4" t="s">
        <v>998</v>
      </c>
      <c r="E360" s="4" t="s">
        <v>999</v>
      </c>
      <c r="F360" s="5">
        <v>0.15</v>
      </c>
      <c r="G360" s="10">
        <v>3</v>
      </c>
      <c r="H360" s="7">
        <v>184.09</v>
      </c>
      <c r="I360" s="7">
        <v>250</v>
      </c>
      <c r="J360" s="7">
        <v>350</v>
      </c>
      <c r="K360" s="7">
        <f t="shared" si="20"/>
        <v>552.27</v>
      </c>
      <c r="L360" s="7">
        <f t="shared" si="21"/>
        <v>750</v>
      </c>
      <c r="M360" s="14">
        <f t="shared" si="19"/>
        <v>1050</v>
      </c>
    </row>
    <row r="361" spans="1:13" x14ac:dyDescent="0.35">
      <c r="A361" s="3" t="s">
        <v>938</v>
      </c>
      <c r="B361" s="8" t="s">
        <v>1842</v>
      </c>
      <c r="C361" s="3" t="s">
        <v>997</v>
      </c>
      <c r="D361" s="4" t="s">
        <v>1000</v>
      </c>
      <c r="E361" s="4" t="s">
        <v>1001</v>
      </c>
      <c r="F361" s="5">
        <v>0.1</v>
      </c>
      <c r="G361" s="10">
        <v>8</v>
      </c>
      <c r="H361" s="7">
        <v>147.25</v>
      </c>
      <c r="I361" s="7">
        <v>200</v>
      </c>
      <c r="J361" s="7">
        <v>280</v>
      </c>
      <c r="K361" s="7">
        <f t="shared" si="20"/>
        <v>1178</v>
      </c>
      <c r="L361" s="7">
        <f t="shared" si="21"/>
        <v>1600</v>
      </c>
      <c r="M361" s="14">
        <f t="shared" si="19"/>
        <v>2240</v>
      </c>
    </row>
    <row r="362" spans="1:13" x14ac:dyDescent="0.35">
      <c r="A362" s="3" t="s">
        <v>938</v>
      </c>
      <c r="B362" s="8" t="s">
        <v>1842</v>
      </c>
      <c r="C362" s="3" t="s">
        <v>1009</v>
      </c>
      <c r="D362" s="4" t="s">
        <v>1010</v>
      </c>
      <c r="E362" s="4" t="s">
        <v>1011</v>
      </c>
      <c r="F362" s="5">
        <v>0</v>
      </c>
      <c r="G362" s="10">
        <v>24</v>
      </c>
      <c r="H362" s="7">
        <v>40.299999999999997</v>
      </c>
      <c r="I362" s="7">
        <v>50</v>
      </c>
      <c r="J362" s="7">
        <v>50</v>
      </c>
      <c r="K362" s="7">
        <f t="shared" si="20"/>
        <v>967.19999999999993</v>
      </c>
      <c r="L362" s="7">
        <f t="shared" si="21"/>
        <v>1200</v>
      </c>
      <c r="M362" s="14">
        <f t="shared" si="19"/>
        <v>1200</v>
      </c>
    </row>
    <row r="363" spans="1:13" ht="15" customHeight="1" x14ac:dyDescent="0.35">
      <c r="A363" s="3" t="s">
        <v>938</v>
      </c>
      <c r="B363" s="8" t="s">
        <v>1843</v>
      </c>
      <c r="C363" s="3" t="s">
        <v>1021</v>
      </c>
      <c r="D363" s="4" t="s">
        <v>1022</v>
      </c>
      <c r="E363" s="4" t="s">
        <v>1023</v>
      </c>
      <c r="F363" s="5">
        <v>0</v>
      </c>
      <c r="G363" s="6">
        <v>0</v>
      </c>
      <c r="H363" s="7">
        <v>140</v>
      </c>
      <c r="I363" s="7">
        <v>150</v>
      </c>
      <c r="J363" s="7">
        <v>150</v>
      </c>
      <c r="K363" s="7">
        <f t="shared" si="20"/>
        <v>0</v>
      </c>
      <c r="L363" s="7">
        <f t="shared" si="21"/>
        <v>0</v>
      </c>
      <c r="M363" s="14">
        <f t="shared" si="19"/>
        <v>0</v>
      </c>
    </row>
    <row r="364" spans="1:13" x14ac:dyDescent="0.35">
      <c r="A364" s="3" t="s">
        <v>938</v>
      </c>
      <c r="B364" s="8" t="s">
        <v>1843</v>
      </c>
      <c r="C364" s="3" t="s">
        <v>1021</v>
      </c>
      <c r="D364" s="4" t="s">
        <v>1024</v>
      </c>
      <c r="E364" s="4" t="s">
        <v>1025</v>
      </c>
      <c r="F364" s="5">
        <v>0</v>
      </c>
      <c r="G364" s="6">
        <v>8</v>
      </c>
      <c r="H364" s="7">
        <v>270</v>
      </c>
      <c r="I364" s="7">
        <v>310</v>
      </c>
      <c r="J364" s="7">
        <v>310</v>
      </c>
      <c r="K364" s="7">
        <f t="shared" si="20"/>
        <v>2160</v>
      </c>
      <c r="L364" s="7">
        <f t="shared" si="21"/>
        <v>2480</v>
      </c>
      <c r="M364" s="14">
        <f t="shared" si="19"/>
        <v>2480</v>
      </c>
    </row>
    <row r="365" spans="1:13" x14ac:dyDescent="0.35">
      <c r="A365" s="3" t="s">
        <v>938</v>
      </c>
      <c r="B365" s="8" t="s">
        <v>1843</v>
      </c>
      <c r="C365" s="3" t="s">
        <v>1021</v>
      </c>
      <c r="D365" s="4" t="s">
        <v>1026</v>
      </c>
      <c r="E365" s="4" t="s">
        <v>1027</v>
      </c>
      <c r="F365" s="5">
        <v>0</v>
      </c>
      <c r="G365" s="6">
        <v>30</v>
      </c>
      <c r="H365" s="7">
        <v>95</v>
      </c>
      <c r="I365" s="7">
        <v>120</v>
      </c>
      <c r="J365" s="7">
        <v>130</v>
      </c>
      <c r="K365" s="7">
        <f t="shared" si="20"/>
        <v>2850</v>
      </c>
      <c r="L365" s="7">
        <f t="shared" si="21"/>
        <v>3600</v>
      </c>
      <c r="M365" s="14">
        <f t="shared" si="19"/>
        <v>3900</v>
      </c>
    </row>
    <row r="366" spans="1:13" x14ac:dyDescent="0.35">
      <c r="A366" s="3" t="s">
        <v>938</v>
      </c>
      <c r="B366" s="8" t="s">
        <v>1843</v>
      </c>
      <c r="C366" s="3" t="s">
        <v>1021</v>
      </c>
      <c r="D366" s="4" t="s">
        <v>1028</v>
      </c>
      <c r="E366" s="4" t="s">
        <v>1029</v>
      </c>
      <c r="F366" s="5">
        <v>0</v>
      </c>
      <c r="G366" s="6">
        <v>9</v>
      </c>
      <c r="H366" s="7">
        <v>50</v>
      </c>
      <c r="I366" s="7">
        <v>60</v>
      </c>
      <c r="J366" s="7">
        <v>60</v>
      </c>
      <c r="K366" s="7">
        <f t="shared" si="20"/>
        <v>450</v>
      </c>
      <c r="L366" s="7">
        <f t="shared" si="21"/>
        <v>540</v>
      </c>
      <c r="M366" s="14">
        <f t="shared" si="19"/>
        <v>540</v>
      </c>
    </row>
    <row r="367" spans="1:13" x14ac:dyDescent="0.35">
      <c r="A367" s="3" t="s">
        <v>938</v>
      </c>
      <c r="B367" s="8" t="s">
        <v>1843</v>
      </c>
      <c r="C367" s="3" t="s">
        <v>1021</v>
      </c>
      <c r="D367" s="4" t="s">
        <v>1030</v>
      </c>
      <c r="E367" s="4" t="s">
        <v>1031</v>
      </c>
      <c r="F367" s="5">
        <v>0</v>
      </c>
      <c r="G367" s="6">
        <v>0</v>
      </c>
      <c r="H367" s="7">
        <v>283</v>
      </c>
      <c r="I367" s="7">
        <v>320</v>
      </c>
      <c r="J367" s="7">
        <v>320</v>
      </c>
      <c r="K367" s="7">
        <f t="shared" si="20"/>
        <v>0</v>
      </c>
      <c r="L367" s="7">
        <f t="shared" si="21"/>
        <v>0</v>
      </c>
      <c r="M367" s="14">
        <f t="shared" si="19"/>
        <v>0</v>
      </c>
    </row>
    <row r="368" spans="1:13" x14ac:dyDescent="0.35">
      <c r="A368" s="3" t="s">
        <v>938</v>
      </c>
      <c r="B368" s="8" t="s">
        <v>1843</v>
      </c>
      <c r="C368" s="3" t="s">
        <v>1021</v>
      </c>
      <c r="D368" s="4" t="s">
        <v>1032</v>
      </c>
      <c r="E368" s="4" t="s">
        <v>1033</v>
      </c>
      <c r="F368" s="5">
        <v>0</v>
      </c>
      <c r="G368" s="6">
        <v>3</v>
      </c>
      <c r="H368" s="7">
        <v>195</v>
      </c>
      <c r="I368" s="7">
        <v>230</v>
      </c>
      <c r="J368" s="7">
        <v>230</v>
      </c>
      <c r="K368" s="7">
        <f t="shared" si="20"/>
        <v>585</v>
      </c>
      <c r="L368" s="7">
        <f t="shared" si="21"/>
        <v>690</v>
      </c>
      <c r="M368" s="14">
        <f t="shared" si="19"/>
        <v>690</v>
      </c>
    </row>
    <row r="369" spans="1:13" x14ac:dyDescent="0.35">
      <c r="A369" s="3" t="s">
        <v>938</v>
      </c>
      <c r="B369" s="8" t="s">
        <v>1843</v>
      </c>
      <c r="C369" s="3" t="s">
        <v>1021</v>
      </c>
      <c r="D369" s="4" t="s">
        <v>1034</v>
      </c>
      <c r="E369" s="4" t="s">
        <v>1035</v>
      </c>
      <c r="F369" s="5">
        <v>0</v>
      </c>
      <c r="G369" s="6">
        <v>0</v>
      </c>
      <c r="H369" s="7">
        <v>205</v>
      </c>
      <c r="I369" s="7">
        <v>240</v>
      </c>
      <c r="J369" s="7">
        <v>240</v>
      </c>
      <c r="K369" s="7">
        <f t="shared" si="20"/>
        <v>0</v>
      </c>
      <c r="L369" s="7">
        <f t="shared" si="21"/>
        <v>0</v>
      </c>
      <c r="M369" s="14">
        <f t="shared" si="19"/>
        <v>0</v>
      </c>
    </row>
    <row r="370" spans="1:13" x14ac:dyDescent="0.35">
      <c r="A370" s="3" t="s">
        <v>938</v>
      </c>
      <c r="B370" s="8" t="s">
        <v>1843</v>
      </c>
      <c r="C370" s="3" t="s">
        <v>1021</v>
      </c>
      <c r="D370" s="4" t="s">
        <v>1036</v>
      </c>
      <c r="E370" s="4" t="s">
        <v>1037</v>
      </c>
      <c r="F370" s="5">
        <v>0</v>
      </c>
      <c r="G370" s="6">
        <v>56</v>
      </c>
      <c r="H370" s="7">
        <v>95</v>
      </c>
      <c r="I370" s="7">
        <v>120</v>
      </c>
      <c r="J370" s="7">
        <v>130</v>
      </c>
      <c r="K370" s="7">
        <f t="shared" si="20"/>
        <v>5320</v>
      </c>
      <c r="L370" s="7">
        <f t="shared" si="21"/>
        <v>6720</v>
      </c>
      <c r="M370" s="14">
        <f t="shared" si="19"/>
        <v>7280</v>
      </c>
    </row>
    <row r="371" spans="1:13" ht="15" customHeight="1" x14ac:dyDescent="0.35">
      <c r="A371" s="3" t="s">
        <v>938</v>
      </c>
      <c r="B371" s="8" t="s">
        <v>1038</v>
      </c>
      <c r="C371" s="3" t="s">
        <v>1038</v>
      </c>
      <c r="D371" s="4" t="s">
        <v>1039</v>
      </c>
      <c r="E371" s="4" t="s">
        <v>1040</v>
      </c>
      <c r="F371" s="5">
        <v>2.8000000000000001E-2</v>
      </c>
      <c r="G371" s="6">
        <v>2</v>
      </c>
      <c r="H371" s="7">
        <v>255</v>
      </c>
      <c r="I371" s="7">
        <v>300</v>
      </c>
      <c r="J371" s="7">
        <v>360</v>
      </c>
      <c r="K371" s="7">
        <f t="shared" si="20"/>
        <v>510</v>
      </c>
      <c r="L371" s="7">
        <f t="shared" si="21"/>
        <v>600</v>
      </c>
      <c r="M371" s="14">
        <f t="shared" si="19"/>
        <v>720</v>
      </c>
    </row>
    <row r="372" spans="1:13" x14ac:dyDescent="0.35">
      <c r="A372" s="3" t="s">
        <v>938</v>
      </c>
      <c r="B372" s="8" t="s">
        <v>1038</v>
      </c>
      <c r="C372" s="3" t="s">
        <v>1038</v>
      </c>
      <c r="D372" s="4" t="s">
        <v>1041</v>
      </c>
      <c r="E372" s="4" t="s">
        <v>1042</v>
      </c>
      <c r="F372" s="5">
        <v>2.8000000000000001E-2</v>
      </c>
      <c r="G372" s="6">
        <v>2</v>
      </c>
      <c r="H372" s="7">
        <v>250</v>
      </c>
      <c r="I372" s="7">
        <v>320</v>
      </c>
      <c r="J372" s="7">
        <v>360</v>
      </c>
      <c r="K372" s="7">
        <f t="shared" si="20"/>
        <v>500</v>
      </c>
      <c r="L372" s="7">
        <f t="shared" si="21"/>
        <v>640</v>
      </c>
      <c r="M372" s="14">
        <f t="shared" si="19"/>
        <v>720</v>
      </c>
    </row>
    <row r="373" spans="1:13" ht="15" customHeight="1" x14ac:dyDescent="0.35">
      <c r="A373" s="3" t="s">
        <v>938</v>
      </c>
      <c r="B373" s="8" t="s">
        <v>1843</v>
      </c>
      <c r="C373" s="3" t="s">
        <v>1043</v>
      </c>
      <c r="D373" s="4" t="s">
        <v>1044</v>
      </c>
      <c r="E373" s="4" t="s">
        <v>1045</v>
      </c>
      <c r="F373" s="5">
        <v>0</v>
      </c>
      <c r="G373" s="6">
        <v>0</v>
      </c>
      <c r="H373" s="7">
        <v>153</v>
      </c>
      <c r="I373" s="7">
        <v>190</v>
      </c>
      <c r="J373" s="7">
        <v>190</v>
      </c>
      <c r="K373" s="7">
        <f t="shared" si="20"/>
        <v>0</v>
      </c>
      <c r="L373" s="7">
        <f t="shared" si="21"/>
        <v>0</v>
      </c>
      <c r="M373" s="14">
        <f t="shared" si="19"/>
        <v>0</v>
      </c>
    </row>
    <row r="374" spans="1:13" x14ac:dyDescent="0.35">
      <c r="A374" s="3" t="s">
        <v>938</v>
      </c>
      <c r="B374" s="8" t="s">
        <v>1843</v>
      </c>
      <c r="C374" s="3" t="s">
        <v>1043</v>
      </c>
      <c r="D374" s="4" t="s">
        <v>1046</v>
      </c>
      <c r="E374" s="4" t="s">
        <v>1047</v>
      </c>
      <c r="F374" s="5">
        <v>0</v>
      </c>
      <c r="G374" s="6">
        <v>2</v>
      </c>
      <c r="H374" s="7">
        <v>153</v>
      </c>
      <c r="I374" s="7">
        <v>190</v>
      </c>
      <c r="J374" s="7">
        <v>190</v>
      </c>
      <c r="K374" s="7">
        <f t="shared" si="20"/>
        <v>306</v>
      </c>
      <c r="L374" s="7">
        <f t="shared" si="21"/>
        <v>380</v>
      </c>
      <c r="M374" s="14">
        <f t="shared" si="19"/>
        <v>380</v>
      </c>
    </row>
    <row r="375" spans="1:13" x14ac:dyDescent="0.35">
      <c r="A375" s="3" t="s">
        <v>938</v>
      </c>
      <c r="B375" s="8" t="s">
        <v>1843</v>
      </c>
      <c r="C375" s="3" t="s">
        <v>1043</v>
      </c>
      <c r="D375" s="4" t="s">
        <v>1048</v>
      </c>
      <c r="E375" s="4" t="s">
        <v>1049</v>
      </c>
      <c r="F375" s="5">
        <v>0</v>
      </c>
      <c r="G375" s="6">
        <v>1</v>
      </c>
      <c r="H375" s="7">
        <v>99</v>
      </c>
      <c r="I375" s="7">
        <v>130</v>
      </c>
      <c r="J375" s="7">
        <v>130</v>
      </c>
      <c r="K375" s="7">
        <f t="shared" si="20"/>
        <v>99</v>
      </c>
      <c r="L375" s="7">
        <f t="shared" si="21"/>
        <v>130</v>
      </c>
      <c r="M375" s="14">
        <f t="shared" si="19"/>
        <v>130</v>
      </c>
    </row>
    <row r="376" spans="1:13" x14ac:dyDescent="0.35">
      <c r="A376" s="3" t="s">
        <v>938</v>
      </c>
      <c r="B376" s="8" t="s">
        <v>1843</v>
      </c>
      <c r="C376" s="3" t="s">
        <v>1043</v>
      </c>
      <c r="D376" s="4" t="s">
        <v>1050</v>
      </c>
      <c r="E376" s="4" t="s">
        <v>1051</v>
      </c>
      <c r="F376" s="5">
        <v>0</v>
      </c>
      <c r="G376" s="6">
        <v>4</v>
      </c>
      <c r="H376" s="7">
        <v>68</v>
      </c>
      <c r="I376" s="7">
        <v>90</v>
      </c>
      <c r="J376" s="7">
        <v>90</v>
      </c>
      <c r="K376" s="7">
        <f t="shared" si="20"/>
        <v>272</v>
      </c>
      <c r="L376" s="7">
        <f t="shared" si="21"/>
        <v>360</v>
      </c>
      <c r="M376" s="14">
        <f t="shared" si="19"/>
        <v>360</v>
      </c>
    </row>
    <row r="377" spans="1:13" x14ac:dyDescent="0.35">
      <c r="A377" s="3" t="s">
        <v>938</v>
      </c>
      <c r="B377" s="8" t="s">
        <v>1052</v>
      </c>
      <c r="C377" s="3" t="s">
        <v>1052</v>
      </c>
      <c r="D377" s="4" t="s">
        <v>1053</v>
      </c>
      <c r="E377" s="4" t="s">
        <v>1054</v>
      </c>
      <c r="F377" s="5">
        <v>0</v>
      </c>
      <c r="G377" s="6">
        <v>1</v>
      </c>
      <c r="H377" s="7">
        <v>173</v>
      </c>
      <c r="I377" s="7">
        <v>190</v>
      </c>
      <c r="J377" s="7">
        <v>200</v>
      </c>
      <c r="K377" s="7">
        <f t="shared" si="20"/>
        <v>173</v>
      </c>
      <c r="L377" s="7">
        <f t="shared" si="21"/>
        <v>190</v>
      </c>
      <c r="M377" s="14">
        <f t="shared" si="19"/>
        <v>200</v>
      </c>
    </row>
    <row r="378" spans="1:13" x14ac:dyDescent="0.35">
      <c r="A378" s="3" t="s">
        <v>938</v>
      </c>
      <c r="B378" s="8" t="s">
        <v>1052</v>
      </c>
      <c r="C378" s="3" t="s">
        <v>1052</v>
      </c>
      <c r="D378" s="4" t="s">
        <v>1055</v>
      </c>
      <c r="E378" s="4" t="s">
        <v>1056</v>
      </c>
      <c r="F378" s="5">
        <v>0</v>
      </c>
      <c r="G378" s="6">
        <v>2</v>
      </c>
      <c r="H378" s="7">
        <v>200</v>
      </c>
      <c r="I378" s="7">
        <v>220</v>
      </c>
      <c r="J378" s="7">
        <v>230</v>
      </c>
      <c r="K378" s="7">
        <f t="shared" si="20"/>
        <v>400</v>
      </c>
      <c r="L378" s="7">
        <f t="shared" si="21"/>
        <v>440</v>
      </c>
      <c r="M378" s="14">
        <f t="shared" si="19"/>
        <v>460</v>
      </c>
    </row>
    <row r="379" spans="1:13" x14ac:dyDescent="0.35">
      <c r="A379" s="3" t="s">
        <v>938</v>
      </c>
      <c r="B379" s="8" t="s">
        <v>1057</v>
      </c>
      <c r="C379" s="3" t="s">
        <v>1057</v>
      </c>
      <c r="D379" s="4" t="s">
        <v>1059</v>
      </c>
      <c r="E379" s="4" t="s">
        <v>1058</v>
      </c>
      <c r="F379" s="5">
        <v>0</v>
      </c>
      <c r="G379" s="6">
        <v>4</v>
      </c>
      <c r="H379" s="7">
        <v>180</v>
      </c>
      <c r="I379" s="7">
        <v>240</v>
      </c>
      <c r="J379" s="7">
        <v>240</v>
      </c>
      <c r="K379" s="7">
        <f t="shared" si="20"/>
        <v>720</v>
      </c>
      <c r="L379" s="7">
        <f t="shared" si="21"/>
        <v>960</v>
      </c>
      <c r="M379" s="14">
        <f t="shared" si="19"/>
        <v>960</v>
      </c>
    </row>
    <row r="380" spans="1:13" x14ac:dyDescent="0.35">
      <c r="A380" s="3" t="s">
        <v>938</v>
      </c>
      <c r="B380" s="8" t="s">
        <v>1060</v>
      </c>
      <c r="C380" s="3" t="s">
        <v>1060</v>
      </c>
      <c r="D380" s="4" t="s">
        <v>1061</v>
      </c>
      <c r="E380" s="4" t="s">
        <v>1062</v>
      </c>
      <c r="F380" s="5">
        <v>0</v>
      </c>
      <c r="G380" s="6">
        <v>12</v>
      </c>
      <c r="H380" s="7">
        <v>170</v>
      </c>
      <c r="I380" s="7">
        <v>200</v>
      </c>
      <c r="J380" s="7">
        <v>200</v>
      </c>
      <c r="K380" s="7">
        <f t="shared" si="20"/>
        <v>2040</v>
      </c>
      <c r="L380" s="7">
        <f t="shared" si="21"/>
        <v>2400</v>
      </c>
      <c r="M380" s="14">
        <f t="shared" si="19"/>
        <v>2400</v>
      </c>
    </row>
    <row r="381" spans="1:13" ht="15" customHeight="1" x14ac:dyDescent="0.35">
      <c r="A381" s="3" t="s">
        <v>938</v>
      </c>
      <c r="B381" s="8" t="s">
        <v>1844</v>
      </c>
      <c r="C381" s="3" t="s">
        <v>1063</v>
      </c>
      <c r="D381" s="4" t="s">
        <v>1064</v>
      </c>
      <c r="E381" s="4" t="s">
        <v>280</v>
      </c>
      <c r="F381" s="5">
        <v>0.1</v>
      </c>
      <c r="G381" s="6">
        <v>8</v>
      </c>
      <c r="H381" s="7">
        <v>125</v>
      </c>
      <c r="I381" s="7">
        <v>140</v>
      </c>
      <c r="J381" s="7">
        <v>150</v>
      </c>
      <c r="K381" s="7">
        <f t="shared" si="20"/>
        <v>1000</v>
      </c>
      <c r="L381" s="7">
        <f t="shared" si="21"/>
        <v>1120</v>
      </c>
      <c r="M381" s="14">
        <f t="shared" si="19"/>
        <v>1200</v>
      </c>
    </row>
    <row r="382" spans="1:13" x14ac:dyDescent="0.35">
      <c r="A382" s="3" t="s">
        <v>938</v>
      </c>
      <c r="B382" s="8" t="s">
        <v>1844</v>
      </c>
      <c r="C382" s="3" t="s">
        <v>1063</v>
      </c>
      <c r="D382" s="4" t="s">
        <v>1065</v>
      </c>
      <c r="E382" s="4" t="s">
        <v>1066</v>
      </c>
      <c r="F382" s="5">
        <v>0.12</v>
      </c>
      <c r="G382" s="6">
        <v>1</v>
      </c>
      <c r="H382" s="7">
        <v>273.60000000000002</v>
      </c>
      <c r="I382" s="7">
        <v>350</v>
      </c>
      <c r="J382" s="7">
        <v>350</v>
      </c>
      <c r="K382" s="7">
        <f t="shared" si="20"/>
        <v>273.60000000000002</v>
      </c>
      <c r="L382" s="7">
        <f t="shared" si="21"/>
        <v>350</v>
      </c>
      <c r="M382" s="14">
        <f t="shared" si="19"/>
        <v>350</v>
      </c>
    </row>
    <row r="383" spans="1:13" x14ac:dyDescent="0.35">
      <c r="A383" s="3" t="s">
        <v>938</v>
      </c>
      <c r="B383" s="8" t="s">
        <v>1844</v>
      </c>
      <c r="C383" s="3" t="s">
        <v>1063</v>
      </c>
      <c r="D383" s="4" t="s">
        <v>1067</v>
      </c>
      <c r="E383" s="4" t="s">
        <v>1068</v>
      </c>
      <c r="F383" s="5">
        <v>0.06</v>
      </c>
      <c r="G383" s="6">
        <v>0</v>
      </c>
      <c r="H383" s="7">
        <v>171</v>
      </c>
      <c r="I383" s="7">
        <v>240</v>
      </c>
      <c r="J383" s="7">
        <v>240</v>
      </c>
      <c r="K383" s="7">
        <f t="shared" si="20"/>
        <v>0</v>
      </c>
      <c r="L383" s="7">
        <f t="shared" si="21"/>
        <v>0</v>
      </c>
      <c r="M383" s="14">
        <f t="shared" si="19"/>
        <v>0</v>
      </c>
    </row>
    <row r="384" spans="1:13" x14ac:dyDescent="0.35">
      <c r="A384" s="3" t="s">
        <v>938</v>
      </c>
      <c r="B384" s="8" t="s">
        <v>1844</v>
      </c>
      <c r="C384" s="3" t="s">
        <v>1063</v>
      </c>
      <c r="D384" s="4" t="s">
        <v>1069</v>
      </c>
      <c r="E384" s="4" t="s">
        <v>1070</v>
      </c>
      <c r="F384" s="5">
        <v>3.5000000000000003E-2</v>
      </c>
      <c r="G384" s="6">
        <v>0</v>
      </c>
      <c r="H384" s="7">
        <v>102.6</v>
      </c>
      <c r="I384" s="7">
        <v>140</v>
      </c>
      <c r="J384" s="7">
        <v>140</v>
      </c>
      <c r="K384" s="7">
        <f t="shared" si="20"/>
        <v>0</v>
      </c>
      <c r="L384" s="7">
        <f t="shared" si="21"/>
        <v>0</v>
      </c>
      <c r="M384" s="14">
        <f t="shared" si="19"/>
        <v>0</v>
      </c>
    </row>
    <row r="385" spans="1:13" x14ac:dyDescent="0.35">
      <c r="A385" s="3" t="s">
        <v>938</v>
      </c>
      <c r="B385" s="8" t="s">
        <v>1844</v>
      </c>
      <c r="C385" s="3" t="s">
        <v>1063</v>
      </c>
      <c r="D385" s="4" t="s">
        <v>1071</v>
      </c>
      <c r="E385" s="4" t="s">
        <v>1072</v>
      </c>
      <c r="F385" s="5">
        <v>0</v>
      </c>
      <c r="G385" s="6">
        <v>3</v>
      </c>
      <c r="H385" s="7">
        <v>102.6</v>
      </c>
      <c r="I385" s="7">
        <v>140</v>
      </c>
      <c r="J385" s="7">
        <v>140</v>
      </c>
      <c r="K385" s="7">
        <f t="shared" si="20"/>
        <v>307.79999999999995</v>
      </c>
      <c r="L385" s="7">
        <f t="shared" si="21"/>
        <v>420</v>
      </c>
      <c r="M385" s="14">
        <f t="shared" si="19"/>
        <v>420</v>
      </c>
    </row>
    <row r="386" spans="1:13" x14ac:dyDescent="0.35">
      <c r="A386" s="3" t="s">
        <v>938</v>
      </c>
      <c r="B386" s="8" t="s">
        <v>1844</v>
      </c>
      <c r="C386" s="3" t="s">
        <v>1063</v>
      </c>
      <c r="D386" s="4" t="s">
        <v>1073</v>
      </c>
      <c r="E386" s="4" t="s">
        <v>1074</v>
      </c>
      <c r="F386" s="5">
        <v>0</v>
      </c>
      <c r="G386" s="6">
        <v>0</v>
      </c>
      <c r="H386" s="7">
        <v>94.68</v>
      </c>
      <c r="I386" s="7">
        <v>110</v>
      </c>
      <c r="J386" s="7">
        <v>110</v>
      </c>
      <c r="K386" s="7">
        <f t="shared" si="20"/>
        <v>0</v>
      </c>
      <c r="L386" s="7">
        <f t="shared" si="21"/>
        <v>0</v>
      </c>
      <c r="M386" s="14">
        <f t="shared" si="19"/>
        <v>0</v>
      </c>
    </row>
    <row r="387" spans="1:13" x14ac:dyDescent="0.35">
      <c r="A387" s="3" t="s">
        <v>938</v>
      </c>
      <c r="B387" s="8" t="s">
        <v>1844</v>
      </c>
      <c r="C387" s="3" t="s">
        <v>1063</v>
      </c>
      <c r="D387" s="4" t="s">
        <v>1075</v>
      </c>
      <c r="E387" s="4" t="s">
        <v>1076</v>
      </c>
      <c r="F387" s="5">
        <v>0</v>
      </c>
      <c r="G387" s="6">
        <v>4</v>
      </c>
      <c r="H387" s="7">
        <v>94.68</v>
      </c>
      <c r="I387" s="7">
        <v>110</v>
      </c>
      <c r="J387" s="7">
        <v>110</v>
      </c>
      <c r="K387" s="7">
        <f t="shared" si="20"/>
        <v>378.72</v>
      </c>
      <c r="L387" s="7">
        <f t="shared" si="21"/>
        <v>440</v>
      </c>
      <c r="M387" s="14">
        <f t="shared" si="19"/>
        <v>440</v>
      </c>
    </row>
    <row r="388" spans="1:13" x14ac:dyDescent="0.35">
      <c r="A388" s="3" t="s">
        <v>938</v>
      </c>
      <c r="B388" s="8" t="s">
        <v>1844</v>
      </c>
      <c r="C388" s="3" t="s">
        <v>1063</v>
      </c>
      <c r="D388" s="4" t="s">
        <v>1077</v>
      </c>
      <c r="E388" s="4" t="s">
        <v>1078</v>
      </c>
      <c r="F388" s="5">
        <v>0.05</v>
      </c>
      <c r="G388" s="6">
        <v>0</v>
      </c>
      <c r="H388" s="7">
        <v>124.59</v>
      </c>
      <c r="I388" s="7">
        <v>170</v>
      </c>
      <c r="J388" s="7">
        <v>170</v>
      </c>
      <c r="K388" s="7">
        <f t="shared" si="20"/>
        <v>0</v>
      </c>
      <c r="L388" s="7">
        <f t="shared" si="21"/>
        <v>0</v>
      </c>
      <c r="M388" s="14">
        <f t="shared" si="19"/>
        <v>0</v>
      </c>
    </row>
    <row r="389" spans="1:13" x14ac:dyDescent="0.35">
      <c r="A389" s="3" t="s">
        <v>938</v>
      </c>
      <c r="B389" s="8" t="s">
        <v>1844</v>
      </c>
      <c r="C389" s="3" t="s">
        <v>1063</v>
      </c>
      <c r="D389" s="4" t="s">
        <v>1079</v>
      </c>
      <c r="E389" s="4" t="s">
        <v>1080</v>
      </c>
      <c r="F389" s="5">
        <v>0.05</v>
      </c>
      <c r="G389" s="6">
        <v>0</v>
      </c>
      <c r="H389" s="7">
        <v>124.58</v>
      </c>
      <c r="I389" s="7">
        <v>170</v>
      </c>
      <c r="J389" s="7">
        <v>170</v>
      </c>
      <c r="K389" s="7">
        <f t="shared" si="20"/>
        <v>0</v>
      </c>
      <c r="L389" s="7">
        <f t="shared" si="21"/>
        <v>0</v>
      </c>
      <c r="M389" s="14">
        <f t="shared" si="19"/>
        <v>0</v>
      </c>
    </row>
    <row r="390" spans="1:13" x14ac:dyDescent="0.35">
      <c r="A390" s="3" t="s">
        <v>938</v>
      </c>
      <c r="B390" s="8" t="s">
        <v>1844</v>
      </c>
      <c r="C390" s="3" t="s">
        <v>1063</v>
      </c>
      <c r="D390" s="4" t="s">
        <v>1081</v>
      </c>
      <c r="E390" s="4" t="s">
        <v>1082</v>
      </c>
      <c r="F390" s="5">
        <v>0.12</v>
      </c>
      <c r="G390" s="6">
        <v>0</v>
      </c>
      <c r="H390" s="7">
        <v>273.60000000000002</v>
      </c>
      <c r="I390" s="7">
        <v>350</v>
      </c>
      <c r="J390" s="7">
        <v>350</v>
      </c>
      <c r="K390" s="7">
        <f t="shared" si="20"/>
        <v>0</v>
      </c>
      <c r="L390" s="7">
        <f t="shared" si="21"/>
        <v>0</v>
      </c>
      <c r="M390" s="14">
        <f t="shared" si="19"/>
        <v>0</v>
      </c>
    </row>
    <row r="391" spans="1:13" x14ac:dyDescent="0.35">
      <c r="A391" s="3" t="s">
        <v>938</v>
      </c>
      <c r="B391" s="8" t="s">
        <v>1844</v>
      </c>
      <c r="C391" s="3" t="s">
        <v>1063</v>
      </c>
      <c r="D391" s="4" t="s">
        <v>1083</v>
      </c>
      <c r="E391" s="4" t="s">
        <v>1084</v>
      </c>
      <c r="F391" s="5">
        <v>0.05</v>
      </c>
      <c r="G391" s="6">
        <v>0</v>
      </c>
      <c r="H391" s="7">
        <v>170</v>
      </c>
      <c r="I391" s="7">
        <v>210</v>
      </c>
      <c r="J391" s="7">
        <v>210</v>
      </c>
      <c r="K391" s="7">
        <f t="shared" si="20"/>
        <v>0</v>
      </c>
      <c r="L391" s="7">
        <f t="shared" si="21"/>
        <v>0</v>
      </c>
      <c r="M391" s="14">
        <f t="shared" si="19"/>
        <v>0</v>
      </c>
    </row>
    <row r="392" spans="1:13" x14ac:dyDescent="0.35">
      <c r="A392" s="3" t="s">
        <v>938</v>
      </c>
      <c r="B392" s="8" t="s">
        <v>1844</v>
      </c>
      <c r="C392" s="3" t="s">
        <v>1063</v>
      </c>
      <c r="D392" s="4" t="s">
        <v>1085</v>
      </c>
      <c r="E392" s="4" t="s">
        <v>1086</v>
      </c>
      <c r="F392" s="5">
        <v>0.1</v>
      </c>
      <c r="G392" s="6">
        <v>0</v>
      </c>
      <c r="H392" s="7">
        <v>190.47</v>
      </c>
      <c r="I392" s="7">
        <v>250</v>
      </c>
      <c r="J392" s="7">
        <v>250</v>
      </c>
      <c r="K392" s="7">
        <f t="shared" si="20"/>
        <v>0</v>
      </c>
      <c r="L392" s="7">
        <f t="shared" si="21"/>
        <v>0</v>
      </c>
      <c r="M392" s="14">
        <f t="shared" si="19"/>
        <v>0</v>
      </c>
    </row>
    <row r="393" spans="1:13" x14ac:dyDescent="0.35">
      <c r="A393" s="3" t="s">
        <v>938</v>
      </c>
      <c r="B393" s="8" t="s">
        <v>1844</v>
      </c>
      <c r="C393" s="3" t="s">
        <v>1063</v>
      </c>
      <c r="D393" s="4" t="s">
        <v>1087</v>
      </c>
      <c r="E393" s="4" t="s">
        <v>1088</v>
      </c>
      <c r="F393" s="5">
        <v>0.1</v>
      </c>
      <c r="G393" s="6">
        <v>0</v>
      </c>
      <c r="H393" s="7">
        <v>190.47</v>
      </c>
      <c r="I393" s="7">
        <v>250</v>
      </c>
      <c r="J393" s="7">
        <v>250</v>
      </c>
      <c r="K393" s="7">
        <f t="shared" si="20"/>
        <v>0</v>
      </c>
      <c r="L393" s="7">
        <f t="shared" si="21"/>
        <v>0</v>
      </c>
      <c r="M393" s="14">
        <f t="shared" si="19"/>
        <v>0</v>
      </c>
    </row>
    <row r="394" spans="1:13" x14ac:dyDescent="0.35">
      <c r="A394" s="3" t="s">
        <v>938</v>
      </c>
      <c r="B394" s="8" t="s">
        <v>1844</v>
      </c>
      <c r="C394" s="3" t="s">
        <v>1063</v>
      </c>
      <c r="D394" s="4" t="s">
        <v>1089</v>
      </c>
      <c r="E394" s="4" t="s">
        <v>1090</v>
      </c>
      <c r="F394" s="5">
        <v>0.1</v>
      </c>
      <c r="G394" s="6">
        <v>0</v>
      </c>
      <c r="H394" s="7">
        <v>168.62</v>
      </c>
      <c r="I394" s="7">
        <v>220</v>
      </c>
      <c r="J394" s="7">
        <v>220</v>
      </c>
      <c r="K394" s="7">
        <f t="shared" si="20"/>
        <v>0</v>
      </c>
      <c r="L394" s="7">
        <f t="shared" si="21"/>
        <v>0</v>
      </c>
      <c r="M394" s="14">
        <f t="shared" si="19"/>
        <v>0</v>
      </c>
    </row>
    <row r="395" spans="1:13" x14ac:dyDescent="0.35">
      <c r="A395" s="3" t="s">
        <v>938</v>
      </c>
      <c r="B395" s="8" t="s">
        <v>1844</v>
      </c>
      <c r="C395" s="3" t="s">
        <v>1063</v>
      </c>
      <c r="D395" s="4" t="s">
        <v>1091</v>
      </c>
      <c r="E395" s="4" t="s">
        <v>1092</v>
      </c>
      <c r="F395" s="5">
        <v>0.1</v>
      </c>
      <c r="G395" s="6">
        <v>2</v>
      </c>
      <c r="H395" s="7">
        <v>201</v>
      </c>
      <c r="I395" s="7">
        <v>250</v>
      </c>
      <c r="J395" s="7">
        <v>260</v>
      </c>
      <c r="K395" s="7">
        <f t="shared" si="20"/>
        <v>402</v>
      </c>
      <c r="L395" s="7">
        <f t="shared" si="21"/>
        <v>500</v>
      </c>
      <c r="M395" s="14">
        <f t="shared" si="19"/>
        <v>520</v>
      </c>
    </row>
    <row r="396" spans="1:13" x14ac:dyDescent="0.35">
      <c r="A396" s="3" t="s">
        <v>938</v>
      </c>
      <c r="B396" s="8" t="s">
        <v>1844</v>
      </c>
      <c r="C396" s="3" t="s">
        <v>1063</v>
      </c>
      <c r="D396" s="4" t="s">
        <v>1093</v>
      </c>
      <c r="E396" s="4" t="s">
        <v>1094</v>
      </c>
      <c r="F396" s="5">
        <v>0.1</v>
      </c>
      <c r="G396" s="6">
        <v>1</v>
      </c>
      <c r="H396" s="7">
        <v>201</v>
      </c>
      <c r="I396" s="7">
        <v>250</v>
      </c>
      <c r="J396" s="7">
        <v>260</v>
      </c>
      <c r="K396" s="7">
        <f t="shared" si="20"/>
        <v>201</v>
      </c>
      <c r="L396" s="7">
        <f t="shared" si="21"/>
        <v>250</v>
      </c>
      <c r="M396" s="14">
        <f t="shared" ref="M396:M459" si="22">J396*G396</f>
        <v>260</v>
      </c>
    </row>
    <row r="397" spans="1:13" x14ac:dyDescent="0.35">
      <c r="A397" s="3" t="s">
        <v>938</v>
      </c>
      <c r="B397" s="8" t="s">
        <v>1844</v>
      </c>
      <c r="C397" s="3" t="s">
        <v>1063</v>
      </c>
      <c r="D397" s="4" t="s">
        <v>1095</v>
      </c>
      <c r="E397" s="4" t="s">
        <v>1096</v>
      </c>
      <c r="F397" s="5">
        <v>0.1</v>
      </c>
      <c r="G397" s="6">
        <v>1</v>
      </c>
      <c r="H397" s="7">
        <v>175.75</v>
      </c>
      <c r="I397" s="7">
        <v>220</v>
      </c>
      <c r="J397" s="7">
        <v>220</v>
      </c>
      <c r="K397" s="7">
        <f t="shared" si="20"/>
        <v>175.75</v>
      </c>
      <c r="L397" s="7">
        <f t="shared" si="21"/>
        <v>220</v>
      </c>
      <c r="M397" s="14">
        <f t="shared" si="22"/>
        <v>220</v>
      </c>
    </row>
    <row r="398" spans="1:13" x14ac:dyDescent="0.35">
      <c r="A398" s="3" t="s">
        <v>938</v>
      </c>
      <c r="B398" s="8" t="s">
        <v>1844</v>
      </c>
      <c r="C398" s="3" t="s">
        <v>1063</v>
      </c>
      <c r="D398" s="4" t="s">
        <v>1097</v>
      </c>
      <c r="E398" s="4" t="s">
        <v>1098</v>
      </c>
      <c r="F398" s="5">
        <v>0</v>
      </c>
      <c r="G398" s="6">
        <v>0</v>
      </c>
      <c r="H398" s="7">
        <v>183.35</v>
      </c>
      <c r="I398" s="7">
        <v>250</v>
      </c>
      <c r="J398" s="7">
        <v>250</v>
      </c>
      <c r="K398" s="7">
        <f t="shared" si="20"/>
        <v>0</v>
      </c>
      <c r="L398" s="7">
        <f t="shared" si="21"/>
        <v>0</v>
      </c>
      <c r="M398" s="14">
        <f t="shared" si="22"/>
        <v>0</v>
      </c>
    </row>
    <row r="399" spans="1:13" x14ac:dyDescent="0.35">
      <c r="A399" s="3" t="s">
        <v>938</v>
      </c>
      <c r="B399" s="8" t="s">
        <v>1844</v>
      </c>
      <c r="C399" s="3" t="s">
        <v>1063</v>
      </c>
      <c r="D399" s="4" t="s">
        <v>1099</v>
      </c>
      <c r="E399" s="4" t="s">
        <v>1100</v>
      </c>
      <c r="F399" s="5">
        <v>0</v>
      </c>
      <c r="G399" s="6">
        <v>0</v>
      </c>
      <c r="H399" s="7">
        <v>73.150000000000006</v>
      </c>
      <c r="I399" s="7">
        <v>90</v>
      </c>
      <c r="J399" s="7">
        <v>90</v>
      </c>
      <c r="K399" s="7">
        <f t="shared" si="20"/>
        <v>0</v>
      </c>
      <c r="L399" s="7">
        <f t="shared" si="21"/>
        <v>0</v>
      </c>
      <c r="M399" s="14">
        <f t="shared" si="22"/>
        <v>0</v>
      </c>
    </row>
    <row r="400" spans="1:13" x14ac:dyDescent="0.35">
      <c r="A400" s="3" t="s">
        <v>938</v>
      </c>
      <c r="B400" s="8" t="s">
        <v>1844</v>
      </c>
      <c r="C400" s="3" t="s">
        <v>1063</v>
      </c>
      <c r="D400" s="4" t="s">
        <v>1101</v>
      </c>
      <c r="E400" s="4" t="s">
        <v>1102</v>
      </c>
      <c r="F400" s="5">
        <v>0.05</v>
      </c>
      <c r="G400" s="6">
        <v>0</v>
      </c>
      <c r="H400" s="7">
        <v>132.05000000000001</v>
      </c>
      <c r="I400" s="7">
        <v>170</v>
      </c>
      <c r="J400" s="7">
        <v>170</v>
      </c>
      <c r="K400" s="7">
        <f t="shared" si="20"/>
        <v>0</v>
      </c>
      <c r="L400" s="7">
        <f t="shared" si="21"/>
        <v>0</v>
      </c>
      <c r="M400" s="14">
        <f t="shared" si="22"/>
        <v>0</v>
      </c>
    </row>
    <row r="401" spans="1:13" x14ac:dyDescent="0.35">
      <c r="A401" s="3" t="s">
        <v>938</v>
      </c>
      <c r="B401" s="8" t="s">
        <v>1844</v>
      </c>
      <c r="C401" s="3" t="s">
        <v>1063</v>
      </c>
      <c r="D401" s="4" t="s">
        <v>1103</v>
      </c>
      <c r="E401" s="4" t="s">
        <v>1104</v>
      </c>
      <c r="F401" s="5">
        <v>0.1</v>
      </c>
      <c r="G401" s="6">
        <v>0</v>
      </c>
      <c r="H401" s="7">
        <v>219.92</v>
      </c>
      <c r="I401" s="7">
        <v>280</v>
      </c>
      <c r="J401" s="7">
        <v>280</v>
      </c>
      <c r="K401" s="7">
        <f t="shared" si="20"/>
        <v>0</v>
      </c>
      <c r="L401" s="7">
        <f t="shared" si="21"/>
        <v>0</v>
      </c>
      <c r="M401" s="14">
        <f t="shared" si="22"/>
        <v>0</v>
      </c>
    </row>
    <row r="402" spans="1:13" x14ac:dyDescent="0.35">
      <c r="A402" s="3" t="s">
        <v>938</v>
      </c>
      <c r="B402" s="8" t="s">
        <v>1844</v>
      </c>
      <c r="C402" s="3" t="s">
        <v>1063</v>
      </c>
      <c r="D402" s="4" t="s">
        <v>1105</v>
      </c>
      <c r="E402" s="4" t="s">
        <v>1106</v>
      </c>
      <c r="F402" s="5">
        <v>0.05</v>
      </c>
      <c r="G402" s="6">
        <v>0</v>
      </c>
      <c r="H402" s="7">
        <v>132.05000000000001</v>
      </c>
      <c r="I402" s="7">
        <v>170</v>
      </c>
      <c r="J402" s="7">
        <v>170</v>
      </c>
      <c r="K402" s="7">
        <f t="shared" si="20"/>
        <v>0</v>
      </c>
      <c r="L402" s="7">
        <f t="shared" si="21"/>
        <v>0</v>
      </c>
      <c r="M402" s="14">
        <f t="shared" si="22"/>
        <v>0</v>
      </c>
    </row>
    <row r="403" spans="1:13" x14ac:dyDescent="0.35">
      <c r="A403" s="3" t="s">
        <v>938</v>
      </c>
      <c r="B403" s="8" t="s">
        <v>1844</v>
      </c>
      <c r="C403" s="3" t="s">
        <v>1063</v>
      </c>
      <c r="D403" s="4" t="s">
        <v>1107</v>
      </c>
      <c r="E403" s="4" t="s">
        <v>1108</v>
      </c>
      <c r="F403" s="5">
        <v>0.1</v>
      </c>
      <c r="G403" s="6">
        <v>0</v>
      </c>
      <c r="H403" s="7">
        <v>219.92</v>
      </c>
      <c r="I403" s="7">
        <v>280</v>
      </c>
      <c r="J403" s="7">
        <v>280</v>
      </c>
      <c r="K403" s="7">
        <f t="shared" si="20"/>
        <v>0</v>
      </c>
      <c r="L403" s="7">
        <f t="shared" si="21"/>
        <v>0</v>
      </c>
      <c r="M403" s="14">
        <f t="shared" si="22"/>
        <v>0</v>
      </c>
    </row>
    <row r="404" spans="1:13" x14ac:dyDescent="0.35">
      <c r="A404" s="3" t="s">
        <v>989</v>
      </c>
      <c r="B404" s="3" t="s">
        <v>1116</v>
      </c>
      <c r="C404" s="3" t="s">
        <v>1116</v>
      </c>
      <c r="D404" s="4" t="s">
        <v>1117</v>
      </c>
      <c r="E404" s="4" t="s">
        <v>1118</v>
      </c>
      <c r="F404" s="5">
        <v>0</v>
      </c>
      <c r="G404" s="6">
        <v>1</v>
      </c>
      <c r="H404" s="7">
        <v>89</v>
      </c>
      <c r="I404" s="7">
        <v>120</v>
      </c>
      <c r="J404" s="7">
        <v>150</v>
      </c>
      <c r="K404" s="7">
        <f t="shared" si="20"/>
        <v>89</v>
      </c>
      <c r="L404" s="7">
        <f t="shared" si="21"/>
        <v>120</v>
      </c>
      <c r="M404" s="14">
        <f t="shared" si="22"/>
        <v>150</v>
      </c>
    </row>
    <row r="405" spans="1:13" x14ac:dyDescent="0.35">
      <c r="A405" s="3" t="s">
        <v>705</v>
      </c>
      <c r="B405" s="8" t="s">
        <v>1120</v>
      </c>
      <c r="C405" s="3" t="s">
        <v>787</v>
      </c>
      <c r="D405" s="4" t="s">
        <v>788</v>
      </c>
      <c r="E405" s="4" t="s">
        <v>789</v>
      </c>
      <c r="F405" s="5">
        <v>0.4</v>
      </c>
      <c r="G405" s="6">
        <v>1</v>
      </c>
      <c r="H405" s="7">
        <v>309</v>
      </c>
      <c r="I405" s="7">
        <v>340</v>
      </c>
      <c r="J405" s="7">
        <v>340</v>
      </c>
      <c r="K405" s="7">
        <f t="shared" ref="K405:K468" si="23">H405*G405</f>
        <v>309</v>
      </c>
      <c r="L405" s="7">
        <f t="shared" ref="L405:L468" si="24">I405*G405</f>
        <v>340</v>
      </c>
      <c r="M405" s="14">
        <f t="shared" si="22"/>
        <v>340</v>
      </c>
    </row>
    <row r="406" spans="1:13" x14ac:dyDescent="0.35">
      <c r="A406" s="3" t="s">
        <v>705</v>
      </c>
      <c r="B406" s="8" t="s">
        <v>1120</v>
      </c>
      <c r="C406" s="3" t="s">
        <v>828</v>
      </c>
      <c r="D406" s="4" t="s">
        <v>829</v>
      </c>
      <c r="E406" s="4" t="s">
        <v>830</v>
      </c>
      <c r="F406" s="5">
        <v>0.75</v>
      </c>
      <c r="G406" s="6">
        <v>1</v>
      </c>
      <c r="H406" s="7">
        <v>650</v>
      </c>
      <c r="I406" s="7">
        <v>700</v>
      </c>
      <c r="J406" s="7">
        <v>700</v>
      </c>
      <c r="K406" s="7">
        <f t="shared" si="23"/>
        <v>650</v>
      </c>
      <c r="L406" s="7">
        <f t="shared" si="24"/>
        <v>700</v>
      </c>
      <c r="M406" s="14">
        <f t="shared" si="22"/>
        <v>700</v>
      </c>
    </row>
    <row r="407" spans="1:13" x14ac:dyDescent="0.35">
      <c r="A407" s="3" t="s">
        <v>705</v>
      </c>
      <c r="B407" s="8" t="s">
        <v>1120</v>
      </c>
      <c r="C407" s="3" t="s">
        <v>840</v>
      </c>
      <c r="D407" s="4" t="s">
        <v>841</v>
      </c>
      <c r="E407" s="4" t="s">
        <v>842</v>
      </c>
      <c r="F407" s="5">
        <v>4.2999999999999997E-2</v>
      </c>
      <c r="G407" s="6">
        <v>1</v>
      </c>
      <c r="H407" s="7">
        <v>103.62</v>
      </c>
      <c r="I407" s="7">
        <v>120</v>
      </c>
      <c r="J407" s="7">
        <v>120</v>
      </c>
      <c r="K407" s="7">
        <f t="shared" si="23"/>
        <v>103.62</v>
      </c>
      <c r="L407" s="7">
        <f t="shared" si="24"/>
        <v>120</v>
      </c>
      <c r="M407" s="14">
        <f t="shared" si="22"/>
        <v>120</v>
      </c>
    </row>
    <row r="408" spans="1:13" x14ac:dyDescent="0.35">
      <c r="A408" s="3" t="s">
        <v>1119</v>
      </c>
      <c r="B408" s="8" t="s">
        <v>1120</v>
      </c>
      <c r="C408" s="3" t="s">
        <v>1121</v>
      </c>
      <c r="D408" s="4" t="s">
        <v>1138</v>
      </c>
      <c r="E408" s="4" t="s">
        <v>1139</v>
      </c>
      <c r="F408" s="5">
        <v>4.4999999999999998E-2</v>
      </c>
      <c r="G408" s="6">
        <v>1</v>
      </c>
      <c r="H408" s="7">
        <v>128.80000000000001</v>
      </c>
      <c r="I408" s="7">
        <v>145</v>
      </c>
      <c r="J408" s="7">
        <v>150</v>
      </c>
      <c r="K408" s="7">
        <f t="shared" si="23"/>
        <v>128.80000000000001</v>
      </c>
      <c r="L408" s="7">
        <f t="shared" si="24"/>
        <v>145</v>
      </c>
      <c r="M408" s="14">
        <f t="shared" si="22"/>
        <v>150</v>
      </c>
    </row>
    <row r="409" spans="1:13" x14ac:dyDescent="0.35">
      <c r="A409" s="3" t="s">
        <v>1119</v>
      </c>
      <c r="B409" s="8" t="s">
        <v>1120</v>
      </c>
      <c r="C409" s="3" t="s">
        <v>1121</v>
      </c>
      <c r="D409" s="4" t="s">
        <v>1157</v>
      </c>
      <c r="E409" s="4" t="s">
        <v>1158</v>
      </c>
      <c r="F409" s="5">
        <v>0.14000000000000001</v>
      </c>
      <c r="G409" s="6">
        <v>1</v>
      </c>
      <c r="H409" s="7">
        <v>254.64</v>
      </c>
      <c r="I409" s="7">
        <v>280</v>
      </c>
      <c r="J409" s="7">
        <v>290</v>
      </c>
      <c r="K409" s="7">
        <f t="shared" si="23"/>
        <v>254.64</v>
      </c>
      <c r="L409" s="7">
        <f t="shared" si="24"/>
        <v>280</v>
      </c>
      <c r="M409" s="14">
        <f t="shared" si="22"/>
        <v>290</v>
      </c>
    </row>
    <row r="410" spans="1:13" x14ac:dyDescent="0.35">
      <c r="A410" s="3" t="s">
        <v>705</v>
      </c>
      <c r="B410" s="8" t="s">
        <v>1120</v>
      </c>
      <c r="C410" s="3" t="s">
        <v>834</v>
      </c>
      <c r="D410" s="4" t="s">
        <v>835</v>
      </c>
      <c r="E410" s="4" t="s">
        <v>836</v>
      </c>
      <c r="F410" s="5">
        <v>4.2999999999999997E-2</v>
      </c>
      <c r="G410" s="6">
        <v>2</v>
      </c>
      <c r="H410" s="7">
        <v>129.4</v>
      </c>
      <c r="I410" s="7">
        <v>145</v>
      </c>
      <c r="J410" s="7">
        <v>150</v>
      </c>
      <c r="K410" s="7">
        <f t="shared" si="23"/>
        <v>258.8</v>
      </c>
      <c r="L410" s="7">
        <f t="shared" si="24"/>
        <v>290</v>
      </c>
      <c r="M410" s="14">
        <f t="shared" si="22"/>
        <v>300</v>
      </c>
    </row>
    <row r="411" spans="1:13" x14ac:dyDescent="0.35">
      <c r="A411" s="3" t="s">
        <v>1119</v>
      </c>
      <c r="B411" s="8" t="s">
        <v>1120</v>
      </c>
      <c r="C411" s="3" t="s">
        <v>1121</v>
      </c>
      <c r="D411" s="4" t="s">
        <v>1140</v>
      </c>
      <c r="E411" s="4" t="s">
        <v>1141</v>
      </c>
      <c r="F411" s="5">
        <v>0.08</v>
      </c>
      <c r="G411" s="6">
        <v>2</v>
      </c>
      <c r="H411" s="7">
        <v>265.95</v>
      </c>
      <c r="I411" s="7">
        <v>280</v>
      </c>
      <c r="J411" s="7">
        <v>290</v>
      </c>
      <c r="K411" s="7">
        <f t="shared" si="23"/>
        <v>531.9</v>
      </c>
      <c r="L411" s="7">
        <f t="shared" si="24"/>
        <v>560</v>
      </c>
      <c r="M411" s="14">
        <f t="shared" si="22"/>
        <v>580</v>
      </c>
    </row>
    <row r="412" spans="1:13" x14ac:dyDescent="0.35">
      <c r="A412" s="3" t="s">
        <v>1119</v>
      </c>
      <c r="B412" s="8" t="s">
        <v>1120</v>
      </c>
      <c r="C412" s="3" t="s">
        <v>1121</v>
      </c>
      <c r="D412" s="4" t="s">
        <v>1159</v>
      </c>
      <c r="E412" s="4" t="s">
        <v>1160</v>
      </c>
      <c r="F412" s="5">
        <v>7.0000000000000007E-2</v>
      </c>
      <c r="G412" s="6">
        <v>2</v>
      </c>
      <c r="H412" s="7">
        <v>135.69999999999999</v>
      </c>
      <c r="I412" s="7">
        <v>140</v>
      </c>
      <c r="J412" s="7">
        <v>150</v>
      </c>
      <c r="K412" s="7">
        <f t="shared" si="23"/>
        <v>271.39999999999998</v>
      </c>
      <c r="L412" s="7">
        <f t="shared" si="24"/>
        <v>280</v>
      </c>
      <c r="M412" s="14">
        <f t="shared" si="22"/>
        <v>300</v>
      </c>
    </row>
    <row r="413" spans="1:13" x14ac:dyDescent="0.35">
      <c r="A413" s="3" t="s">
        <v>1119</v>
      </c>
      <c r="B413" s="8" t="s">
        <v>1120</v>
      </c>
      <c r="C413" s="3" t="s">
        <v>1121</v>
      </c>
      <c r="D413" s="4" t="s">
        <v>1163</v>
      </c>
      <c r="E413" s="4" t="s">
        <v>1164</v>
      </c>
      <c r="F413" s="5">
        <v>1.4999999999999999E-2</v>
      </c>
      <c r="G413" s="6">
        <v>2</v>
      </c>
      <c r="H413" s="7">
        <v>61.35</v>
      </c>
      <c r="I413" s="7">
        <v>70</v>
      </c>
      <c r="J413" s="7">
        <v>70</v>
      </c>
      <c r="K413" s="7">
        <f t="shared" si="23"/>
        <v>122.7</v>
      </c>
      <c r="L413" s="7">
        <f t="shared" si="24"/>
        <v>140</v>
      </c>
      <c r="M413" s="14">
        <f t="shared" si="22"/>
        <v>140</v>
      </c>
    </row>
    <row r="414" spans="1:13" x14ac:dyDescent="0.35">
      <c r="A414" s="3" t="s">
        <v>1119</v>
      </c>
      <c r="B414" s="8" t="s">
        <v>1120</v>
      </c>
      <c r="C414" s="3" t="s">
        <v>1121</v>
      </c>
      <c r="D414" s="4" t="s">
        <v>1167</v>
      </c>
      <c r="E414" s="4" t="s">
        <v>1168</v>
      </c>
      <c r="F414" s="5">
        <v>0.04</v>
      </c>
      <c r="G414" s="6">
        <v>2</v>
      </c>
      <c r="H414" s="7">
        <v>135.69999999999999</v>
      </c>
      <c r="I414" s="7">
        <v>145</v>
      </c>
      <c r="J414" s="7">
        <v>150</v>
      </c>
      <c r="K414" s="7">
        <f t="shared" si="23"/>
        <v>271.39999999999998</v>
      </c>
      <c r="L414" s="7">
        <f t="shared" si="24"/>
        <v>290</v>
      </c>
      <c r="M414" s="14">
        <f t="shared" si="22"/>
        <v>300</v>
      </c>
    </row>
    <row r="415" spans="1:13" x14ac:dyDescent="0.35">
      <c r="A415" s="3" t="s">
        <v>1119</v>
      </c>
      <c r="B415" s="8" t="s">
        <v>1120</v>
      </c>
      <c r="C415" s="3" t="s">
        <v>1121</v>
      </c>
      <c r="D415" s="4" t="s">
        <v>1175</v>
      </c>
      <c r="E415" s="4" t="s">
        <v>1176</v>
      </c>
      <c r="F415" s="5">
        <v>4.4999999999999998E-2</v>
      </c>
      <c r="G415" s="6">
        <v>2</v>
      </c>
      <c r="H415" s="7">
        <v>111.87</v>
      </c>
      <c r="I415" s="7">
        <v>130</v>
      </c>
      <c r="J415" s="7">
        <v>150</v>
      </c>
      <c r="K415" s="7">
        <f t="shared" si="23"/>
        <v>223.74</v>
      </c>
      <c r="L415" s="7">
        <f t="shared" si="24"/>
        <v>260</v>
      </c>
      <c r="M415" s="14">
        <f t="shared" si="22"/>
        <v>300</v>
      </c>
    </row>
    <row r="416" spans="1:13" x14ac:dyDescent="0.35">
      <c r="A416" s="3" t="s">
        <v>1119</v>
      </c>
      <c r="B416" s="8" t="s">
        <v>1120</v>
      </c>
      <c r="C416" s="3" t="s">
        <v>1314</v>
      </c>
      <c r="D416" s="4" t="s">
        <v>1317</v>
      </c>
      <c r="E416" s="4" t="s">
        <v>1318</v>
      </c>
      <c r="F416" s="5">
        <v>0.4</v>
      </c>
      <c r="G416" s="6">
        <v>2</v>
      </c>
      <c r="H416" s="7">
        <v>203</v>
      </c>
      <c r="I416" s="7">
        <v>230</v>
      </c>
      <c r="J416" s="7">
        <v>230</v>
      </c>
      <c r="K416" s="7">
        <f t="shared" si="23"/>
        <v>406</v>
      </c>
      <c r="L416" s="7">
        <f t="shared" si="24"/>
        <v>460</v>
      </c>
      <c r="M416" s="14">
        <f t="shared" si="22"/>
        <v>460</v>
      </c>
    </row>
    <row r="417" spans="1:13" x14ac:dyDescent="0.35">
      <c r="A417" s="3" t="s">
        <v>1119</v>
      </c>
      <c r="B417" s="8" t="s">
        <v>1120</v>
      </c>
      <c r="C417" s="3" t="s">
        <v>1314</v>
      </c>
      <c r="D417" s="4" t="s">
        <v>1323</v>
      </c>
      <c r="E417" s="4" t="s">
        <v>1324</v>
      </c>
      <c r="F417" s="5">
        <v>0.4</v>
      </c>
      <c r="G417" s="6">
        <v>2</v>
      </c>
      <c r="H417" s="7">
        <v>192.98</v>
      </c>
      <c r="I417" s="7">
        <v>230</v>
      </c>
      <c r="J417" s="7">
        <v>230</v>
      </c>
      <c r="K417" s="7">
        <f t="shared" si="23"/>
        <v>385.96</v>
      </c>
      <c r="L417" s="7">
        <f t="shared" si="24"/>
        <v>460</v>
      </c>
      <c r="M417" s="14">
        <f t="shared" si="22"/>
        <v>460</v>
      </c>
    </row>
    <row r="418" spans="1:13" x14ac:dyDescent="0.35">
      <c r="A418" s="3" t="s">
        <v>705</v>
      </c>
      <c r="B418" s="8" t="s">
        <v>1120</v>
      </c>
      <c r="C418" s="3" t="s">
        <v>831</v>
      </c>
      <c r="D418" s="4" t="s">
        <v>832</v>
      </c>
      <c r="E418" s="4" t="s">
        <v>833</v>
      </c>
      <c r="F418" s="5">
        <v>4.2999999999999997E-2</v>
      </c>
      <c r="G418" s="6">
        <v>3</v>
      </c>
      <c r="H418" s="7">
        <v>131.1</v>
      </c>
      <c r="I418" s="7">
        <v>145</v>
      </c>
      <c r="J418" s="7">
        <v>150</v>
      </c>
      <c r="K418" s="7">
        <f t="shared" si="23"/>
        <v>393.29999999999995</v>
      </c>
      <c r="L418" s="7">
        <f t="shared" si="24"/>
        <v>435</v>
      </c>
      <c r="M418" s="14">
        <f t="shared" si="22"/>
        <v>450</v>
      </c>
    </row>
    <row r="419" spans="1:13" x14ac:dyDescent="0.35">
      <c r="A419" s="3" t="s">
        <v>705</v>
      </c>
      <c r="B419" s="8" t="s">
        <v>1120</v>
      </c>
      <c r="C419" s="3" t="s">
        <v>837</v>
      </c>
      <c r="D419" s="4" t="s">
        <v>838</v>
      </c>
      <c r="E419" s="4" t="s">
        <v>839</v>
      </c>
      <c r="F419" s="5">
        <v>4.2999999999999997E-2</v>
      </c>
      <c r="G419" s="6">
        <v>3</v>
      </c>
      <c r="H419" s="7">
        <v>131.1</v>
      </c>
      <c r="I419" s="7">
        <v>145</v>
      </c>
      <c r="J419" s="7">
        <v>150</v>
      </c>
      <c r="K419" s="7">
        <f t="shared" si="23"/>
        <v>393.29999999999995</v>
      </c>
      <c r="L419" s="7">
        <f t="shared" si="24"/>
        <v>435</v>
      </c>
      <c r="M419" s="14">
        <f t="shared" si="22"/>
        <v>450</v>
      </c>
    </row>
    <row r="420" spans="1:13" x14ac:dyDescent="0.35">
      <c r="A420" s="3" t="s">
        <v>1119</v>
      </c>
      <c r="B420" s="8" t="s">
        <v>1120</v>
      </c>
      <c r="C420" s="3" t="s">
        <v>1121</v>
      </c>
      <c r="D420" s="4" t="s">
        <v>1124</v>
      </c>
      <c r="E420" s="4" t="s">
        <v>1125</v>
      </c>
      <c r="F420" s="5">
        <v>4.2999999999999997E-2</v>
      </c>
      <c r="G420" s="6">
        <v>3</v>
      </c>
      <c r="H420" s="7">
        <v>128.80000000000001</v>
      </c>
      <c r="I420" s="7">
        <v>145</v>
      </c>
      <c r="J420" s="7">
        <v>150</v>
      </c>
      <c r="K420" s="7">
        <f t="shared" si="23"/>
        <v>386.40000000000003</v>
      </c>
      <c r="L420" s="7">
        <f t="shared" si="24"/>
        <v>435</v>
      </c>
      <c r="M420" s="14">
        <f t="shared" si="22"/>
        <v>450</v>
      </c>
    </row>
    <row r="421" spans="1:13" x14ac:dyDescent="0.35">
      <c r="A421" s="3" t="s">
        <v>1119</v>
      </c>
      <c r="B421" s="8" t="s">
        <v>1120</v>
      </c>
      <c r="C421" s="3" t="s">
        <v>1121</v>
      </c>
      <c r="D421" s="4" t="s">
        <v>1128</v>
      </c>
      <c r="E421" s="4" t="s">
        <v>1129</v>
      </c>
      <c r="F421" s="5">
        <v>0.05</v>
      </c>
      <c r="G421" s="6">
        <v>3</v>
      </c>
      <c r="H421" s="7">
        <v>128.80000000000001</v>
      </c>
      <c r="I421" s="7">
        <v>145</v>
      </c>
      <c r="J421" s="7">
        <v>150</v>
      </c>
      <c r="K421" s="7">
        <f t="shared" si="23"/>
        <v>386.40000000000003</v>
      </c>
      <c r="L421" s="7">
        <f t="shared" si="24"/>
        <v>435</v>
      </c>
      <c r="M421" s="14">
        <f t="shared" si="22"/>
        <v>450</v>
      </c>
    </row>
    <row r="422" spans="1:13" x14ac:dyDescent="0.35">
      <c r="A422" s="3" t="s">
        <v>1119</v>
      </c>
      <c r="B422" s="8" t="s">
        <v>1120</v>
      </c>
      <c r="C422" s="3" t="s">
        <v>1121</v>
      </c>
      <c r="D422" s="4" t="s">
        <v>1132</v>
      </c>
      <c r="E422" s="4" t="s">
        <v>1133</v>
      </c>
      <c r="F422" s="5">
        <v>0</v>
      </c>
      <c r="G422" s="6">
        <v>3</v>
      </c>
      <c r="H422" s="7">
        <v>233.7</v>
      </c>
      <c r="I422" s="7">
        <v>250</v>
      </c>
      <c r="J422" s="7">
        <v>260</v>
      </c>
      <c r="K422" s="7">
        <f t="shared" si="23"/>
        <v>701.09999999999991</v>
      </c>
      <c r="L422" s="7">
        <f t="shared" si="24"/>
        <v>750</v>
      </c>
      <c r="M422" s="14">
        <f t="shared" si="22"/>
        <v>780</v>
      </c>
    </row>
    <row r="423" spans="1:13" x14ac:dyDescent="0.35">
      <c r="A423" s="3" t="s">
        <v>1119</v>
      </c>
      <c r="B423" s="8" t="s">
        <v>1120</v>
      </c>
      <c r="C423" s="3" t="s">
        <v>1121</v>
      </c>
      <c r="D423" s="4" t="s">
        <v>1134</v>
      </c>
      <c r="E423" s="4" t="s">
        <v>1135</v>
      </c>
      <c r="F423" s="5">
        <v>4.5999999999999999E-2</v>
      </c>
      <c r="G423" s="6">
        <v>3</v>
      </c>
      <c r="H423" s="7">
        <v>122.35</v>
      </c>
      <c r="I423" s="7">
        <v>135</v>
      </c>
      <c r="J423" s="7">
        <v>140</v>
      </c>
      <c r="K423" s="7">
        <f t="shared" si="23"/>
        <v>367.04999999999995</v>
      </c>
      <c r="L423" s="7">
        <f t="shared" si="24"/>
        <v>405</v>
      </c>
      <c r="M423" s="14">
        <f t="shared" si="22"/>
        <v>420</v>
      </c>
    </row>
    <row r="424" spans="1:13" x14ac:dyDescent="0.35">
      <c r="A424" s="3" t="s">
        <v>1119</v>
      </c>
      <c r="B424" s="8" t="s">
        <v>1120</v>
      </c>
      <c r="C424" s="3" t="s">
        <v>1121</v>
      </c>
      <c r="D424" s="4" t="s">
        <v>1142</v>
      </c>
      <c r="E424" s="4" t="s">
        <v>1143</v>
      </c>
      <c r="F424" s="5">
        <v>8.5999999999999993E-2</v>
      </c>
      <c r="G424" s="6">
        <v>3</v>
      </c>
      <c r="H424" s="7">
        <v>265.95</v>
      </c>
      <c r="I424" s="7">
        <v>280</v>
      </c>
      <c r="J424" s="7">
        <v>290</v>
      </c>
      <c r="K424" s="7">
        <f t="shared" si="23"/>
        <v>797.84999999999991</v>
      </c>
      <c r="L424" s="7">
        <f t="shared" si="24"/>
        <v>840</v>
      </c>
      <c r="M424" s="14">
        <f t="shared" si="22"/>
        <v>870</v>
      </c>
    </row>
    <row r="425" spans="1:13" x14ac:dyDescent="0.35">
      <c r="A425" s="3" t="s">
        <v>1119</v>
      </c>
      <c r="B425" s="8" t="s">
        <v>1120</v>
      </c>
      <c r="C425" s="3" t="s">
        <v>1121</v>
      </c>
      <c r="D425" s="4" t="s">
        <v>1144</v>
      </c>
      <c r="E425" s="4" t="s">
        <v>1145</v>
      </c>
      <c r="F425" s="5">
        <v>0.08</v>
      </c>
      <c r="G425" s="6">
        <v>3</v>
      </c>
      <c r="H425" s="7">
        <v>266</v>
      </c>
      <c r="I425" s="7">
        <v>280</v>
      </c>
      <c r="J425" s="7">
        <v>290</v>
      </c>
      <c r="K425" s="7">
        <f t="shared" si="23"/>
        <v>798</v>
      </c>
      <c r="L425" s="7">
        <f t="shared" si="24"/>
        <v>840</v>
      </c>
      <c r="M425" s="14">
        <f t="shared" si="22"/>
        <v>870</v>
      </c>
    </row>
    <row r="426" spans="1:13" x14ac:dyDescent="0.35">
      <c r="A426" s="3" t="s">
        <v>1119</v>
      </c>
      <c r="B426" s="8" t="s">
        <v>1120</v>
      </c>
      <c r="C426" s="3" t="s">
        <v>1121</v>
      </c>
      <c r="D426" s="4" t="s">
        <v>1146</v>
      </c>
      <c r="E426" s="4" t="s">
        <v>1147</v>
      </c>
      <c r="F426" s="5">
        <v>7.0000000000000007E-2</v>
      </c>
      <c r="G426" s="6">
        <v>3</v>
      </c>
      <c r="H426" s="7">
        <v>128.66999999999999</v>
      </c>
      <c r="I426" s="7">
        <v>145</v>
      </c>
      <c r="J426" s="7">
        <v>150</v>
      </c>
      <c r="K426" s="7">
        <f t="shared" si="23"/>
        <v>386.01</v>
      </c>
      <c r="L426" s="7">
        <f t="shared" si="24"/>
        <v>435</v>
      </c>
      <c r="M426" s="14">
        <f t="shared" si="22"/>
        <v>450</v>
      </c>
    </row>
    <row r="427" spans="1:13" x14ac:dyDescent="0.35">
      <c r="A427" s="3" t="s">
        <v>1119</v>
      </c>
      <c r="B427" s="8" t="s">
        <v>1120</v>
      </c>
      <c r="C427" s="3" t="s">
        <v>1121</v>
      </c>
      <c r="D427" s="4" t="s">
        <v>1161</v>
      </c>
      <c r="E427" s="4" t="s">
        <v>1162</v>
      </c>
      <c r="F427" s="5">
        <v>0.05</v>
      </c>
      <c r="G427" s="6">
        <v>3</v>
      </c>
      <c r="H427" s="7">
        <v>131.1</v>
      </c>
      <c r="I427" s="7">
        <v>145</v>
      </c>
      <c r="J427" s="7">
        <v>150</v>
      </c>
      <c r="K427" s="7">
        <f t="shared" si="23"/>
        <v>393.29999999999995</v>
      </c>
      <c r="L427" s="7">
        <f t="shared" si="24"/>
        <v>435</v>
      </c>
      <c r="M427" s="14">
        <f t="shared" si="22"/>
        <v>450</v>
      </c>
    </row>
    <row r="428" spans="1:13" x14ac:dyDescent="0.35">
      <c r="A428" s="3" t="s">
        <v>1119</v>
      </c>
      <c r="B428" s="8" t="s">
        <v>1120</v>
      </c>
      <c r="C428" s="3" t="s">
        <v>1121</v>
      </c>
      <c r="D428" s="4" t="s">
        <v>1165</v>
      </c>
      <c r="E428" s="4" t="s">
        <v>1166</v>
      </c>
      <c r="F428" s="5">
        <v>0.21</v>
      </c>
      <c r="G428" s="6">
        <v>3</v>
      </c>
      <c r="H428" s="7">
        <v>101.04</v>
      </c>
      <c r="I428" s="7">
        <v>130</v>
      </c>
      <c r="J428" s="7">
        <v>130</v>
      </c>
      <c r="K428" s="7">
        <f t="shared" si="23"/>
        <v>303.12</v>
      </c>
      <c r="L428" s="7">
        <f t="shared" si="24"/>
        <v>390</v>
      </c>
      <c r="M428" s="14">
        <f t="shared" si="22"/>
        <v>390</v>
      </c>
    </row>
    <row r="429" spans="1:13" x14ac:dyDescent="0.35">
      <c r="A429" s="3" t="s">
        <v>1119</v>
      </c>
      <c r="B429" s="8" t="s">
        <v>1120</v>
      </c>
      <c r="C429" s="3" t="s">
        <v>1121</v>
      </c>
      <c r="D429" s="4" t="s">
        <v>1169</v>
      </c>
      <c r="E429" s="4" t="s">
        <v>1170</v>
      </c>
      <c r="F429" s="5">
        <v>8.5000000000000006E-2</v>
      </c>
      <c r="G429" s="6">
        <v>3</v>
      </c>
      <c r="H429" s="7">
        <v>239.16</v>
      </c>
      <c r="I429" s="7">
        <v>260</v>
      </c>
      <c r="J429" s="7">
        <v>270</v>
      </c>
      <c r="K429" s="7">
        <f t="shared" si="23"/>
        <v>717.48</v>
      </c>
      <c r="L429" s="7">
        <f t="shared" si="24"/>
        <v>780</v>
      </c>
      <c r="M429" s="14">
        <f t="shared" si="22"/>
        <v>810</v>
      </c>
    </row>
    <row r="430" spans="1:13" x14ac:dyDescent="0.35">
      <c r="A430" s="3" t="s">
        <v>1119</v>
      </c>
      <c r="B430" s="8" t="s">
        <v>1120</v>
      </c>
      <c r="C430" s="3" t="s">
        <v>1121</v>
      </c>
      <c r="D430" s="4" t="s">
        <v>1177</v>
      </c>
      <c r="E430" s="4" t="s">
        <v>1178</v>
      </c>
      <c r="F430" s="5">
        <v>4.4999999999999998E-2</v>
      </c>
      <c r="G430" s="6">
        <v>3</v>
      </c>
      <c r="H430" s="7">
        <v>111.87</v>
      </c>
      <c r="I430" s="7">
        <v>130</v>
      </c>
      <c r="J430" s="7">
        <v>150</v>
      </c>
      <c r="K430" s="7">
        <f t="shared" si="23"/>
        <v>335.61</v>
      </c>
      <c r="L430" s="7">
        <f t="shared" si="24"/>
        <v>390</v>
      </c>
      <c r="M430" s="14">
        <f t="shared" si="22"/>
        <v>450</v>
      </c>
    </row>
    <row r="431" spans="1:13" x14ac:dyDescent="0.35">
      <c r="A431" s="3" t="s">
        <v>1119</v>
      </c>
      <c r="B431" s="8" t="s">
        <v>1120</v>
      </c>
      <c r="C431" s="3" t="s">
        <v>1314</v>
      </c>
      <c r="D431" s="4" t="s">
        <v>1319</v>
      </c>
      <c r="E431" s="4" t="s">
        <v>1320</v>
      </c>
      <c r="F431" s="5">
        <v>0.21</v>
      </c>
      <c r="G431" s="6">
        <v>3</v>
      </c>
      <c r="H431" s="7">
        <v>102</v>
      </c>
      <c r="I431" s="7">
        <v>130</v>
      </c>
      <c r="J431" s="7">
        <v>140</v>
      </c>
      <c r="K431" s="7">
        <f t="shared" si="23"/>
        <v>306</v>
      </c>
      <c r="L431" s="7">
        <f t="shared" si="24"/>
        <v>390</v>
      </c>
      <c r="M431" s="14">
        <f t="shared" si="22"/>
        <v>420</v>
      </c>
    </row>
    <row r="432" spans="1:13" x14ac:dyDescent="0.35">
      <c r="A432" s="3" t="s">
        <v>705</v>
      </c>
      <c r="B432" s="8" t="s">
        <v>1826</v>
      </c>
      <c r="C432" s="3" t="s">
        <v>790</v>
      </c>
      <c r="D432" s="4" t="s">
        <v>791</v>
      </c>
      <c r="E432" s="4" t="s">
        <v>792</v>
      </c>
      <c r="F432" s="5">
        <v>0.27500000000000002</v>
      </c>
      <c r="G432" s="6">
        <v>4</v>
      </c>
      <c r="H432" s="7">
        <v>162</v>
      </c>
      <c r="I432" s="7">
        <v>190</v>
      </c>
      <c r="J432" s="7">
        <v>190</v>
      </c>
      <c r="K432" s="7">
        <f t="shared" si="23"/>
        <v>648</v>
      </c>
      <c r="L432" s="7">
        <f t="shared" si="24"/>
        <v>760</v>
      </c>
      <c r="M432" s="14">
        <f t="shared" si="22"/>
        <v>760</v>
      </c>
    </row>
    <row r="433" spans="1:13" x14ac:dyDescent="0.35">
      <c r="A433" s="3" t="s">
        <v>1119</v>
      </c>
      <c r="B433" s="8" t="s">
        <v>1120</v>
      </c>
      <c r="C433" s="3" t="s">
        <v>1121</v>
      </c>
      <c r="D433" s="4" t="s">
        <v>1122</v>
      </c>
      <c r="E433" s="4" t="s">
        <v>1123</v>
      </c>
      <c r="F433" s="5">
        <v>2.5000000000000001E-2</v>
      </c>
      <c r="G433" s="6">
        <v>4</v>
      </c>
      <c r="H433" s="7">
        <v>70.680000000000007</v>
      </c>
      <c r="I433" s="7">
        <v>80</v>
      </c>
      <c r="J433" s="7">
        <v>80</v>
      </c>
      <c r="K433" s="7">
        <f t="shared" si="23"/>
        <v>282.72000000000003</v>
      </c>
      <c r="L433" s="7">
        <f t="shared" si="24"/>
        <v>320</v>
      </c>
      <c r="M433" s="14">
        <f t="shared" si="22"/>
        <v>320</v>
      </c>
    </row>
    <row r="434" spans="1:13" x14ac:dyDescent="0.35">
      <c r="A434" s="3" t="s">
        <v>1119</v>
      </c>
      <c r="B434" s="8" t="s">
        <v>1120</v>
      </c>
      <c r="C434" s="3" t="s">
        <v>1121</v>
      </c>
      <c r="D434" s="4" t="s">
        <v>1130</v>
      </c>
      <c r="E434" s="4" t="s">
        <v>1131</v>
      </c>
      <c r="F434" s="5">
        <v>0.04</v>
      </c>
      <c r="G434" s="6">
        <v>4</v>
      </c>
      <c r="H434" s="7">
        <v>131.1</v>
      </c>
      <c r="I434" s="7">
        <v>145</v>
      </c>
      <c r="J434" s="7">
        <v>150</v>
      </c>
      <c r="K434" s="7">
        <f t="shared" si="23"/>
        <v>524.4</v>
      </c>
      <c r="L434" s="7">
        <f t="shared" si="24"/>
        <v>580</v>
      </c>
      <c r="M434" s="14">
        <f t="shared" si="22"/>
        <v>600</v>
      </c>
    </row>
    <row r="435" spans="1:13" x14ac:dyDescent="0.35">
      <c r="A435" s="3" t="s">
        <v>1119</v>
      </c>
      <c r="B435" s="8" t="s">
        <v>1120</v>
      </c>
      <c r="C435" s="3" t="s">
        <v>1121</v>
      </c>
      <c r="D435" s="4" t="s">
        <v>1136</v>
      </c>
      <c r="E435" s="4" t="s">
        <v>1137</v>
      </c>
      <c r="F435" s="5">
        <v>0.05</v>
      </c>
      <c r="G435" s="6">
        <v>4</v>
      </c>
      <c r="H435" s="7">
        <v>130.78</v>
      </c>
      <c r="I435" s="7">
        <v>150</v>
      </c>
      <c r="J435" s="7">
        <v>150</v>
      </c>
      <c r="K435" s="7">
        <f t="shared" si="23"/>
        <v>523.12</v>
      </c>
      <c r="L435" s="7">
        <f t="shared" si="24"/>
        <v>600</v>
      </c>
      <c r="M435" s="14">
        <f t="shared" si="22"/>
        <v>600</v>
      </c>
    </row>
    <row r="436" spans="1:13" x14ac:dyDescent="0.35">
      <c r="A436" s="3" t="s">
        <v>1119</v>
      </c>
      <c r="B436" s="8" t="s">
        <v>1120</v>
      </c>
      <c r="C436" s="3" t="s">
        <v>1121</v>
      </c>
      <c r="D436" s="4" t="s">
        <v>1152</v>
      </c>
      <c r="E436" s="4" t="s">
        <v>1153</v>
      </c>
      <c r="F436" s="5">
        <v>0</v>
      </c>
      <c r="G436" s="6">
        <v>4</v>
      </c>
      <c r="H436" s="7">
        <v>71.972999999999999</v>
      </c>
      <c r="I436" s="7">
        <v>80</v>
      </c>
      <c r="J436" s="7">
        <v>80</v>
      </c>
      <c r="K436" s="7">
        <f t="shared" si="23"/>
        <v>287.892</v>
      </c>
      <c r="L436" s="7">
        <f t="shared" si="24"/>
        <v>320</v>
      </c>
      <c r="M436" s="14">
        <f t="shared" si="22"/>
        <v>320</v>
      </c>
    </row>
    <row r="437" spans="1:13" x14ac:dyDescent="0.35">
      <c r="A437" s="3" t="s">
        <v>1119</v>
      </c>
      <c r="B437" s="8" t="s">
        <v>1120</v>
      </c>
      <c r="C437" s="3" t="s">
        <v>1314</v>
      </c>
      <c r="D437" s="4" t="s">
        <v>1315</v>
      </c>
      <c r="E437" s="4" t="s">
        <v>1316</v>
      </c>
      <c r="F437" s="5">
        <v>0.4</v>
      </c>
      <c r="G437" s="6">
        <v>4</v>
      </c>
      <c r="H437" s="7">
        <v>203</v>
      </c>
      <c r="I437" s="7">
        <v>230</v>
      </c>
      <c r="J437" s="7">
        <v>230</v>
      </c>
      <c r="K437" s="7">
        <f t="shared" si="23"/>
        <v>812</v>
      </c>
      <c r="L437" s="7">
        <f t="shared" si="24"/>
        <v>920</v>
      </c>
      <c r="M437" s="14">
        <f t="shared" si="22"/>
        <v>920</v>
      </c>
    </row>
    <row r="438" spans="1:13" x14ac:dyDescent="0.35">
      <c r="A438" s="3" t="s">
        <v>705</v>
      </c>
      <c r="B438" s="8" t="s">
        <v>1120</v>
      </c>
      <c r="C438" s="3" t="s">
        <v>903</v>
      </c>
      <c r="D438" s="4" t="s">
        <v>916</v>
      </c>
      <c r="E438" s="4" t="s">
        <v>917</v>
      </c>
      <c r="F438" s="5">
        <v>0.12</v>
      </c>
      <c r="G438" s="6">
        <v>6</v>
      </c>
      <c r="H438" s="7">
        <v>64.44</v>
      </c>
      <c r="I438" s="7">
        <v>80</v>
      </c>
      <c r="J438" s="7">
        <v>80</v>
      </c>
      <c r="K438" s="7">
        <f t="shared" si="23"/>
        <v>386.64</v>
      </c>
      <c r="L438" s="7">
        <f t="shared" si="24"/>
        <v>480</v>
      </c>
      <c r="M438" s="14">
        <f t="shared" si="22"/>
        <v>480</v>
      </c>
    </row>
    <row r="439" spans="1:13" ht="15" customHeight="1" x14ac:dyDescent="0.35">
      <c r="A439" s="3" t="s">
        <v>1119</v>
      </c>
      <c r="B439" s="8" t="s">
        <v>1845</v>
      </c>
      <c r="C439" s="3" t="s">
        <v>1181</v>
      </c>
      <c r="D439" s="4" t="s">
        <v>1182</v>
      </c>
      <c r="E439" s="4" t="s">
        <v>1183</v>
      </c>
      <c r="F439" s="5">
        <v>0.12</v>
      </c>
      <c r="G439" s="6">
        <v>4</v>
      </c>
      <c r="H439" s="7">
        <v>252</v>
      </c>
      <c r="I439" s="7">
        <v>280</v>
      </c>
      <c r="J439" s="7">
        <v>290</v>
      </c>
      <c r="K439" s="7">
        <f t="shared" si="23"/>
        <v>1008</v>
      </c>
      <c r="L439" s="7">
        <f t="shared" si="24"/>
        <v>1120</v>
      </c>
      <c r="M439" s="14">
        <f t="shared" si="22"/>
        <v>1160</v>
      </c>
    </row>
    <row r="440" spans="1:13" x14ac:dyDescent="0.35">
      <c r="A440" s="3" t="s">
        <v>1119</v>
      </c>
      <c r="B440" s="8" t="s">
        <v>1845</v>
      </c>
      <c r="C440" s="3" t="s">
        <v>1181</v>
      </c>
      <c r="D440" s="4" t="s">
        <v>1184</v>
      </c>
      <c r="E440" s="4" t="s">
        <v>1185</v>
      </c>
      <c r="F440" s="5">
        <v>0.12</v>
      </c>
      <c r="G440" s="6">
        <v>5</v>
      </c>
      <c r="H440" s="7">
        <v>234.67</v>
      </c>
      <c r="I440" s="7">
        <v>260</v>
      </c>
      <c r="J440" s="7">
        <v>270</v>
      </c>
      <c r="K440" s="7">
        <f t="shared" si="23"/>
        <v>1173.3499999999999</v>
      </c>
      <c r="L440" s="7">
        <f t="shared" si="24"/>
        <v>1300</v>
      </c>
      <c r="M440" s="14">
        <f t="shared" si="22"/>
        <v>1350</v>
      </c>
    </row>
    <row r="441" spans="1:13" x14ac:dyDescent="0.35">
      <c r="A441" s="3" t="s">
        <v>1119</v>
      </c>
      <c r="B441" s="8" t="s">
        <v>1845</v>
      </c>
      <c r="C441" s="3" t="s">
        <v>1181</v>
      </c>
      <c r="D441" s="4" t="s">
        <v>1186</v>
      </c>
      <c r="E441" s="4" t="s">
        <v>1187</v>
      </c>
      <c r="F441" s="5">
        <v>0.09</v>
      </c>
      <c r="G441" s="6">
        <v>4</v>
      </c>
      <c r="H441" s="7">
        <v>270</v>
      </c>
      <c r="I441" s="7">
        <v>280</v>
      </c>
      <c r="J441" s="7">
        <v>290</v>
      </c>
      <c r="K441" s="7">
        <f t="shared" si="23"/>
        <v>1080</v>
      </c>
      <c r="L441" s="7">
        <f t="shared" si="24"/>
        <v>1120</v>
      </c>
      <c r="M441" s="14">
        <f t="shared" si="22"/>
        <v>1160</v>
      </c>
    </row>
    <row r="442" spans="1:13" x14ac:dyDescent="0.35">
      <c r="A442" s="3" t="s">
        <v>1119</v>
      </c>
      <c r="B442" s="8" t="s">
        <v>1845</v>
      </c>
      <c r="C442" s="3" t="s">
        <v>1181</v>
      </c>
      <c r="D442" s="4" t="s">
        <v>1188</v>
      </c>
      <c r="E442" s="4" t="s">
        <v>1189</v>
      </c>
      <c r="F442" s="5">
        <v>0.09</v>
      </c>
      <c r="G442" s="6">
        <v>3</v>
      </c>
      <c r="H442" s="7">
        <v>252</v>
      </c>
      <c r="I442" s="7">
        <v>280</v>
      </c>
      <c r="J442" s="7">
        <v>290</v>
      </c>
      <c r="K442" s="7">
        <f t="shared" si="23"/>
        <v>756</v>
      </c>
      <c r="L442" s="7">
        <f t="shared" si="24"/>
        <v>840</v>
      </c>
      <c r="M442" s="14">
        <f t="shared" si="22"/>
        <v>870</v>
      </c>
    </row>
    <row r="443" spans="1:13" x14ac:dyDescent="0.35">
      <c r="A443" s="3" t="s">
        <v>1119</v>
      </c>
      <c r="B443" s="8" t="s">
        <v>1845</v>
      </c>
      <c r="C443" s="3" t="s">
        <v>1181</v>
      </c>
      <c r="D443" s="4" t="s">
        <v>1190</v>
      </c>
      <c r="E443" s="4" t="s">
        <v>1191</v>
      </c>
      <c r="F443" s="5">
        <v>0.05</v>
      </c>
      <c r="G443" s="6">
        <v>2</v>
      </c>
      <c r="H443" s="7">
        <v>239.33</v>
      </c>
      <c r="I443" s="7">
        <v>260</v>
      </c>
      <c r="J443" s="7">
        <v>270</v>
      </c>
      <c r="K443" s="7">
        <f t="shared" si="23"/>
        <v>478.66</v>
      </c>
      <c r="L443" s="7">
        <f t="shared" si="24"/>
        <v>520</v>
      </c>
      <c r="M443" s="14">
        <f t="shared" si="22"/>
        <v>540</v>
      </c>
    </row>
    <row r="444" spans="1:13" x14ac:dyDescent="0.35">
      <c r="A444" s="3" t="s">
        <v>1119</v>
      </c>
      <c r="B444" s="8" t="s">
        <v>1845</v>
      </c>
      <c r="C444" s="3" t="s">
        <v>1181</v>
      </c>
      <c r="D444" s="4" t="s">
        <v>1192</v>
      </c>
      <c r="E444" s="4" t="s">
        <v>1193</v>
      </c>
      <c r="F444" s="5">
        <v>0.03</v>
      </c>
      <c r="G444" s="6">
        <v>13</v>
      </c>
      <c r="H444" s="7">
        <v>59.75</v>
      </c>
      <c r="I444" s="7">
        <v>70</v>
      </c>
      <c r="J444" s="7">
        <v>70</v>
      </c>
      <c r="K444" s="7">
        <f t="shared" si="23"/>
        <v>776.75</v>
      </c>
      <c r="L444" s="7">
        <f t="shared" si="24"/>
        <v>910</v>
      </c>
      <c r="M444" s="14">
        <f t="shared" si="22"/>
        <v>910</v>
      </c>
    </row>
    <row r="445" spans="1:13" x14ac:dyDescent="0.35">
      <c r="A445" s="3" t="s">
        <v>1119</v>
      </c>
      <c r="B445" s="8" t="s">
        <v>1845</v>
      </c>
      <c r="C445" s="3" t="s">
        <v>1181</v>
      </c>
      <c r="D445" s="4" t="s">
        <v>1194</v>
      </c>
      <c r="E445" s="4" t="s">
        <v>1195</v>
      </c>
      <c r="F445" s="5">
        <v>2.5000000000000001E-2</v>
      </c>
      <c r="G445" s="6">
        <v>9</v>
      </c>
      <c r="H445" s="7">
        <v>59.75</v>
      </c>
      <c r="I445" s="7">
        <v>70</v>
      </c>
      <c r="J445" s="7">
        <v>70</v>
      </c>
      <c r="K445" s="7">
        <f t="shared" si="23"/>
        <v>537.75</v>
      </c>
      <c r="L445" s="7">
        <f t="shared" si="24"/>
        <v>630</v>
      </c>
      <c r="M445" s="14">
        <f t="shared" si="22"/>
        <v>630</v>
      </c>
    </row>
    <row r="446" spans="1:13" x14ac:dyDescent="0.35">
      <c r="A446" s="3" t="s">
        <v>1119</v>
      </c>
      <c r="B446" s="8" t="s">
        <v>1845</v>
      </c>
      <c r="C446" s="3" t="s">
        <v>1181</v>
      </c>
      <c r="D446" s="4" t="s">
        <v>1196</v>
      </c>
      <c r="E446" s="4" t="s">
        <v>1197</v>
      </c>
      <c r="F446" s="5">
        <v>0.03</v>
      </c>
      <c r="G446" s="6">
        <v>2</v>
      </c>
      <c r="H446" s="7">
        <v>51.84</v>
      </c>
      <c r="I446" s="7">
        <v>70</v>
      </c>
      <c r="J446" s="7">
        <v>70</v>
      </c>
      <c r="K446" s="7">
        <f t="shared" si="23"/>
        <v>103.68</v>
      </c>
      <c r="L446" s="7">
        <f t="shared" si="24"/>
        <v>140</v>
      </c>
      <c r="M446" s="14">
        <f t="shared" si="22"/>
        <v>140</v>
      </c>
    </row>
    <row r="447" spans="1:13" x14ac:dyDescent="0.35">
      <c r="A447" s="3" t="s">
        <v>1119</v>
      </c>
      <c r="B447" s="8" t="s">
        <v>1845</v>
      </c>
      <c r="C447" s="3" t="s">
        <v>1181</v>
      </c>
      <c r="D447" s="4" t="s">
        <v>1198</v>
      </c>
      <c r="E447" s="4" t="s">
        <v>1199</v>
      </c>
      <c r="F447" s="5">
        <v>2.5000000000000001E-2</v>
      </c>
      <c r="G447" s="6">
        <v>11</v>
      </c>
      <c r="H447" s="7">
        <v>67</v>
      </c>
      <c r="I447" s="7">
        <v>80</v>
      </c>
      <c r="J447" s="7">
        <v>80</v>
      </c>
      <c r="K447" s="7">
        <f t="shared" si="23"/>
        <v>737</v>
      </c>
      <c r="L447" s="7">
        <f t="shared" si="24"/>
        <v>880</v>
      </c>
      <c r="M447" s="14">
        <f t="shared" si="22"/>
        <v>880</v>
      </c>
    </row>
    <row r="448" spans="1:13" x14ac:dyDescent="0.35">
      <c r="A448" s="3" t="s">
        <v>1119</v>
      </c>
      <c r="B448" s="8" t="s">
        <v>1845</v>
      </c>
      <c r="C448" s="3" t="s">
        <v>1181</v>
      </c>
      <c r="D448" s="4" t="s">
        <v>1200</v>
      </c>
      <c r="E448" s="4" t="s">
        <v>1201</v>
      </c>
      <c r="F448" s="5">
        <v>0.03</v>
      </c>
      <c r="G448" s="6">
        <v>0</v>
      </c>
      <c r="H448" s="7">
        <v>51.92</v>
      </c>
      <c r="I448" s="7">
        <v>60</v>
      </c>
      <c r="J448" s="7">
        <v>60</v>
      </c>
      <c r="K448" s="7">
        <f t="shared" si="23"/>
        <v>0</v>
      </c>
      <c r="L448" s="7">
        <f t="shared" si="24"/>
        <v>0</v>
      </c>
      <c r="M448" s="14">
        <f t="shared" si="22"/>
        <v>0</v>
      </c>
    </row>
    <row r="449" spans="1:13" x14ac:dyDescent="0.35">
      <c r="A449" s="3" t="s">
        <v>1119</v>
      </c>
      <c r="B449" s="8" t="s">
        <v>1845</v>
      </c>
      <c r="C449" s="3" t="s">
        <v>1181</v>
      </c>
      <c r="D449" s="4" t="s">
        <v>1202</v>
      </c>
      <c r="E449" s="4" t="s">
        <v>1203</v>
      </c>
      <c r="F449" s="5">
        <v>0.03</v>
      </c>
      <c r="G449" s="6">
        <v>7</v>
      </c>
      <c r="H449" s="7">
        <v>51.84</v>
      </c>
      <c r="I449" s="7">
        <v>60</v>
      </c>
      <c r="J449" s="7">
        <v>60</v>
      </c>
      <c r="K449" s="7">
        <f t="shared" si="23"/>
        <v>362.88</v>
      </c>
      <c r="L449" s="7">
        <f t="shared" si="24"/>
        <v>420</v>
      </c>
      <c r="M449" s="14">
        <f t="shared" si="22"/>
        <v>420</v>
      </c>
    </row>
    <row r="450" spans="1:13" x14ac:dyDescent="0.35">
      <c r="A450" s="3" t="s">
        <v>1119</v>
      </c>
      <c r="B450" s="8" t="s">
        <v>1845</v>
      </c>
      <c r="C450" s="3" t="s">
        <v>1181</v>
      </c>
      <c r="D450" s="4" t="s">
        <v>1204</v>
      </c>
      <c r="E450" s="4" t="s">
        <v>1205</v>
      </c>
      <c r="F450" s="5">
        <v>0.03</v>
      </c>
      <c r="G450" s="6">
        <v>11</v>
      </c>
      <c r="H450" s="7">
        <v>58.585000000000001</v>
      </c>
      <c r="I450" s="7">
        <v>70</v>
      </c>
      <c r="J450" s="7">
        <v>70</v>
      </c>
      <c r="K450" s="7">
        <f t="shared" si="23"/>
        <v>644.43500000000006</v>
      </c>
      <c r="L450" s="7">
        <f t="shared" si="24"/>
        <v>770</v>
      </c>
      <c r="M450" s="14">
        <f t="shared" si="22"/>
        <v>770</v>
      </c>
    </row>
    <row r="451" spans="1:13" x14ac:dyDescent="0.35">
      <c r="A451" s="3" t="s">
        <v>1119</v>
      </c>
      <c r="B451" s="8" t="s">
        <v>1845</v>
      </c>
      <c r="C451" s="3" t="s">
        <v>1181</v>
      </c>
      <c r="D451" s="4" t="s">
        <v>1206</v>
      </c>
      <c r="E451" s="4" t="s">
        <v>1207</v>
      </c>
      <c r="F451" s="5">
        <v>2.5000000000000001E-2</v>
      </c>
      <c r="G451" s="6">
        <v>1</v>
      </c>
      <c r="H451" s="7">
        <v>51.92</v>
      </c>
      <c r="I451" s="7">
        <v>60</v>
      </c>
      <c r="J451" s="7">
        <v>60</v>
      </c>
      <c r="K451" s="7">
        <f t="shared" si="23"/>
        <v>51.92</v>
      </c>
      <c r="L451" s="7">
        <f t="shared" si="24"/>
        <v>60</v>
      </c>
      <c r="M451" s="14">
        <f t="shared" si="22"/>
        <v>60</v>
      </c>
    </row>
    <row r="452" spans="1:13" x14ac:dyDescent="0.35">
      <c r="A452" s="3" t="s">
        <v>1119</v>
      </c>
      <c r="B452" s="8" t="s">
        <v>1845</v>
      </c>
      <c r="C452" s="3" t="s">
        <v>1181</v>
      </c>
      <c r="D452" s="4" t="s">
        <v>1208</v>
      </c>
      <c r="E452" s="4" t="s">
        <v>1209</v>
      </c>
      <c r="F452" s="5">
        <v>0.03</v>
      </c>
      <c r="G452" s="6">
        <v>6</v>
      </c>
      <c r="H452" s="7">
        <v>66</v>
      </c>
      <c r="I452" s="7">
        <v>70</v>
      </c>
      <c r="J452" s="7">
        <v>70</v>
      </c>
      <c r="K452" s="7">
        <f t="shared" si="23"/>
        <v>396</v>
      </c>
      <c r="L452" s="7">
        <f t="shared" si="24"/>
        <v>420</v>
      </c>
      <c r="M452" s="14">
        <f t="shared" si="22"/>
        <v>420</v>
      </c>
    </row>
    <row r="453" spans="1:13" x14ac:dyDescent="0.35">
      <c r="A453" s="3" t="s">
        <v>1119</v>
      </c>
      <c r="B453" s="8" t="s">
        <v>1845</v>
      </c>
      <c r="C453" s="3" t="s">
        <v>1181</v>
      </c>
      <c r="D453" s="4" t="s">
        <v>1210</v>
      </c>
      <c r="E453" s="4" t="s">
        <v>1211</v>
      </c>
      <c r="F453" s="5">
        <v>2.3E-2</v>
      </c>
      <c r="G453" s="6">
        <v>18</v>
      </c>
      <c r="H453" s="7">
        <v>68.83</v>
      </c>
      <c r="I453" s="7">
        <v>80</v>
      </c>
      <c r="J453" s="7">
        <v>80</v>
      </c>
      <c r="K453" s="7">
        <f t="shared" si="23"/>
        <v>1238.94</v>
      </c>
      <c r="L453" s="7">
        <f t="shared" si="24"/>
        <v>1440</v>
      </c>
      <c r="M453" s="14">
        <f t="shared" si="22"/>
        <v>1440</v>
      </c>
    </row>
    <row r="454" spans="1:13" x14ac:dyDescent="0.35">
      <c r="A454" s="3" t="s">
        <v>1119</v>
      </c>
      <c r="B454" s="8" t="s">
        <v>1845</v>
      </c>
      <c r="C454" s="3" t="s">
        <v>1181</v>
      </c>
      <c r="D454" s="4" t="s">
        <v>1212</v>
      </c>
      <c r="E454" s="4" t="s">
        <v>1213</v>
      </c>
      <c r="F454" s="5">
        <v>0.1</v>
      </c>
      <c r="G454" s="6">
        <v>6</v>
      </c>
      <c r="H454" s="7">
        <v>239.25</v>
      </c>
      <c r="I454" s="7">
        <v>260</v>
      </c>
      <c r="J454" s="7">
        <v>270</v>
      </c>
      <c r="K454" s="7">
        <f t="shared" si="23"/>
        <v>1435.5</v>
      </c>
      <c r="L454" s="7">
        <f t="shared" si="24"/>
        <v>1560</v>
      </c>
      <c r="M454" s="14">
        <f t="shared" si="22"/>
        <v>1620</v>
      </c>
    </row>
    <row r="455" spans="1:13" x14ac:dyDescent="0.35">
      <c r="A455" s="3" t="s">
        <v>1119</v>
      </c>
      <c r="B455" s="8" t="s">
        <v>1845</v>
      </c>
      <c r="C455" s="3" t="s">
        <v>1181</v>
      </c>
      <c r="D455" s="4" t="s">
        <v>1214</v>
      </c>
      <c r="E455" s="4" t="s">
        <v>1215</v>
      </c>
      <c r="F455" s="5">
        <v>0.8</v>
      </c>
      <c r="G455" s="6">
        <v>0</v>
      </c>
      <c r="H455" s="7">
        <v>85</v>
      </c>
      <c r="I455" s="7">
        <v>100</v>
      </c>
      <c r="J455" s="7">
        <v>100</v>
      </c>
      <c r="K455" s="7">
        <f t="shared" si="23"/>
        <v>0</v>
      </c>
      <c r="L455" s="7">
        <f t="shared" si="24"/>
        <v>0</v>
      </c>
      <c r="M455" s="14">
        <f t="shared" si="22"/>
        <v>0</v>
      </c>
    </row>
    <row r="456" spans="1:13" x14ac:dyDescent="0.35">
      <c r="A456" s="3" t="s">
        <v>1119</v>
      </c>
      <c r="B456" s="8" t="s">
        <v>1845</v>
      </c>
      <c r="C456" s="3" t="s">
        <v>1181</v>
      </c>
      <c r="D456" s="4" t="s">
        <v>1216</v>
      </c>
      <c r="E456" s="4" t="s">
        <v>1217</v>
      </c>
      <c r="F456" s="5">
        <v>0</v>
      </c>
      <c r="G456" s="6">
        <v>11</v>
      </c>
      <c r="H456" s="7">
        <v>55</v>
      </c>
      <c r="I456" s="7">
        <v>60</v>
      </c>
      <c r="J456" s="7">
        <v>60</v>
      </c>
      <c r="K456" s="7">
        <f t="shared" si="23"/>
        <v>605</v>
      </c>
      <c r="L456" s="7">
        <f t="shared" si="24"/>
        <v>660</v>
      </c>
      <c r="M456" s="14">
        <f t="shared" si="22"/>
        <v>660</v>
      </c>
    </row>
    <row r="457" spans="1:13" x14ac:dyDescent="0.35">
      <c r="A457" s="3" t="s">
        <v>1119</v>
      </c>
      <c r="B457" s="8" t="s">
        <v>1845</v>
      </c>
      <c r="C457" s="3" t="s">
        <v>1181</v>
      </c>
      <c r="D457" s="4" t="s">
        <v>1218</v>
      </c>
      <c r="E457" s="4" t="s">
        <v>1219</v>
      </c>
      <c r="F457" s="5">
        <v>3.1E-2</v>
      </c>
      <c r="G457" s="6">
        <v>6</v>
      </c>
      <c r="H457" s="7">
        <v>26.66</v>
      </c>
      <c r="I457" s="7">
        <v>30</v>
      </c>
      <c r="J457" s="7">
        <v>30</v>
      </c>
      <c r="K457" s="7">
        <f t="shared" si="23"/>
        <v>159.96</v>
      </c>
      <c r="L457" s="7">
        <f t="shared" si="24"/>
        <v>180</v>
      </c>
      <c r="M457" s="14">
        <f t="shared" si="22"/>
        <v>180</v>
      </c>
    </row>
    <row r="458" spans="1:13" x14ac:dyDescent="0.35">
      <c r="A458" s="3" t="s">
        <v>1119</v>
      </c>
      <c r="B458" s="8" t="s">
        <v>1845</v>
      </c>
      <c r="C458" s="3" t="s">
        <v>1181</v>
      </c>
      <c r="D458" s="4" t="s">
        <v>1220</v>
      </c>
      <c r="E458" s="4" t="s">
        <v>1221</v>
      </c>
      <c r="F458" s="5">
        <v>3.1E-2</v>
      </c>
      <c r="G458" s="6">
        <v>6</v>
      </c>
      <c r="H458" s="7">
        <v>26.66</v>
      </c>
      <c r="I458" s="7">
        <v>30</v>
      </c>
      <c r="J458" s="7">
        <v>30</v>
      </c>
      <c r="K458" s="7">
        <f t="shared" si="23"/>
        <v>159.96</v>
      </c>
      <c r="L458" s="7">
        <f t="shared" si="24"/>
        <v>180</v>
      </c>
      <c r="M458" s="14">
        <f t="shared" si="22"/>
        <v>180</v>
      </c>
    </row>
    <row r="459" spans="1:13" x14ac:dyDescent="0.35">
      <c r="A459" s="3" t="s">
        <v>1119</v>
      </c>
      <c r="B459" s="8" t="s">
        <v>1845</v>
      </c>
      <c r="C459" s="3" t="s">
        <v>1181</v>
      </c>
      <c r="D459" s="4" t="s">
        <v>1222</v>
      </c>
      <c r="E459" s="4" t="s">
        <v>1223</v>
      </c>
      <c r="F459" s="5">
        <v>0.03</v>
      </c>
      <c r="G459" s="6">
        <v>15</v>
      </c>
      <c r="H459" s="7">
        <v>35.58</v>
      </c>
      <c r="I459" s="7">
        <v>40</v>
      </c>
      <c r="J459" s="7">
        <v>40</v>
      </c>
      <c r="K459" s="7">
        <f t="shared" si="23"/>
        <v>533.69999999999993</v>
      </c>
      <c r="L459" s="7">
        <f t="shared" si="24"/>
        <v>600</v>
      </c>
      <c r="M459" s="14">
        <f t="shared" si="22"/>
        <v>600</v>
      </c>
    </row>
    <row r="460" spans="1:13" x14ac:dyDescent="0.35">
      <c r="A460" s="3" t="s">
        <v>1119</v>
      </c>
      <c r="B460" s="8" t="s">
        <v>1845</v>
      </c>
      <c r="C460" s="3" t="s">
        <v>1181</v>
      </c>
      <c r="D460" s="4" t="s">
        <v>1224</v>
      </c>
      <c r="E460" s="4" t="s">
        <v>1225</v>
      </c>
      <c r="F460" s="5">
        <v>2.5000000000000001E-2</v>
      </c>
      <c r="G460" s="6">
        <v>11</v>
      </c>
      <c r="H460" s="7">
        <v>51.92</v>
      </c>
      <c r="I460" s="7">
        <v>60</v>
      </c>
      <c r="J460" s="7">
        <v>60</v>
      </c>
      <c r="K460" s="7">
        <f t="shared" si="23"/>
        <v>571.12</v>
      </c>
      <c r="L460" s="7">
        <f t="shared" si="24"/>
        <v>660</v>
      </c>
      <c r="M460" s="14">
        <f t="shared" ref="M460:M523" si="25">J460*G460</f>
        <v>660</v>
      </c>
    </row>
    <row r="461" spans="1:13" x14ac:dyDescent="0.35">
      <c r="A461" s="3" t="s">
        <v>1119</v>
      </c>
      <c r="B461" s="8" t="s">
        <v>1845</v>
      </c>
      <c r="C461" s="3" t="s">
        <v>1181</v>
      </c>
      <c r="D461" s="4" t="s">
        <v>1226</v>
      </c>
      <c r="E461" s="4" t="s">
        <v>1227</v>
      </c>
      <c r="F461" s="5">
        <v>0.02</v>
      </c>
      <c r="G461" s="6">
        <v>0</v>
      </c>
      <c r="H461" s="7">
        <v>51.92</v>
      </c>
      <c r="I461" s="7">
        <v>60</v>
      </c>
      <c r="J461" s="7">
        <v>60</v>
      </c>
      <c r="K461" s="7">
        <f t="shared" si="23"/>
        <v>0</v>
      </c>
      <c r="L461" s="7">
        <f t="shared" si="24"/>
        <v>0</v>
      </c>
      <c r="M461" s="14">
        <f t="shared" si="25"/>
        <v>0</v>
      </c>
    </row>
    <row r="462" spans="1:13" x14ac:dyDescent="0.35">
      <c r="A462" s="3" t="s">
        <v>1119</v>
      </c>
      <c r="B462" s="8" t="s">
        <v>1845</v>
      </c>
      <c r="C462" s="3" t="s">
        <v>1181</v>
      </c>
      <c r="D462" s="4" t="s">
        <v>1228</v>
      </c>
      <c r="E462" s="4" t="s">
        <v>1229</v>
      </c>
      <c r="F462" s="5">
        <v>0.05</v>
      </c>
      <c r="G462" s="6">
        <v>0</v>
      </c>
      <c r="H462" s="7">
        <v>112</v>
      </c>
      <c r="I462" s="7">
        <v>130</v>
      </c>
      <c r="J462" s="7">
        <v>140</v>
      </c>
      <c r="K462" s="7">
        <f t="shared" si="23"/>
        <v>0</v>
      </c>
      <c r="L462" s="7">
        <f t="shared" si="24"/>
        <v>0</v>
      </c>
      <c r="M462" s="14">
        <f t="shared" si="25"/>
        <v>0</v>
      </c>
    </row>
    <row r="463" spans="1:13" x14ac:dyDescent="0.35">
      <c r="A463" s="3" t="s">
        <v>1119</v>
      </c>
      <c r="B463" s="8" t="s">
        <v>1845</v>
      </c>
      <c r="C463" s="3" t="s">
        <v>1181</v>
      </c>
      <c r="D463" s="4" t="s">
        <v>1230</v>
      </c>
      <c r="E463" s="4" t="s">
        <v>1231</v>
      </c>
      <c r="F463" s="5">
        <v>0.06</v>
      </c>
      <c r="G463" s="6">
        <v>0</v>
      </c>
      <c r="H463" s="7">
        <v>112.17</v>
      </c>
      <c r="I463" s="7">
        <v>130</v>
      </c>
      <c r="J463" s="7">
        <v>140</v>
      </c>
      <c r="K463" s="7">
        <f t="shared" si="23"/>
        <v>0</v>
      </c>
      <c r="L463" s="7">
        <f t="shared" si="24"/>
        <v>0</v>
      </c>
      <c r="M463" s="14">
        <f t="shared" si="25"/>
        <v>0</v>
      </c>
    </row>
    <row r="464" spans="1:13" x14ac:dyDescent="0.35">
      <c r="A464" s="3" t="s">
        <v>1119</v>
      </c>
      <c r="B464" s="8" t="s">
        <v>1845</v>
      </c>
      <c r="C464" s="3" t="s">
        <v>1181</v>
      </c>
      <c r="D464" s="4" t="s">
        <v>1232</v>
      </c>
      <c r="E464" s="4" t="s">
        <v>1233</v>
      </c>
      <c r="F464" s="5">
        <v>0.05</v>
      </c>
      <c r="G464" s="6">
        <v>1</v>
      </c>
      <c r="H464" s="7">
        <v>114.33</v>
      </c>
      <c r="I464" s="7">
        <v>130</v>
      </c>
      <c r="J464" s="7">
        <v>140</v>
      </c>
      <c r="K464" s="7">
        <f t="shared" si="23"/>
        <v>114.33</v>
      </c>
      <c r="L464" s="7">
        <f t="shared" si="24"/>
        <v>130</v>
      </c>
      <c r="M464" s="14">
        <f t="shared" si="25"/>
        <v>140</v>
      </c>
    </row>
    <row r="465" spans="1:13" x14ac:dyDescent="0.35">
      <c r="A465" s="3" t="s">
        <v>1119</v>
      </c>
      <c r="B465" s="8" t="s">
        <v>1845</v>
      </c>
      <c r="C465" s="3" t="s">
        <v>1181</v>
      </c>
      <c r="D465" s="4" t="s">
        <v>1234</v>
      </c>
      <c r="E465" s="4" t="s">
        <v>1235</v>
      </c>
      <c r="F465" s="5">
        <v>0.05</v>
      </c>
      <c r="G465" s="6">
        <v>0</v>
      </c>
      <c r="H465" s="7">
        <v>112</v>
      </c>
      <c r="I465" s="7">
        <v>130</v>
      </c>
      <c r="J465" s="7">
        <v>140</v>
      </c>
      <c r="K465" s="7">
        <f t="shared" si="23"/>
        <v>0</v>
      </c>
      <c r="L465" s="7">
        <f t="shared" si="24"/>
        <v>0</v>
      </c>
      <c r="M465" s="14">
        <f t="shared" si="25"/>
        <v>0</v>
      </c>
    </row>
    <row r="466" spans="1:13" x14ac:dyDescent="0.35">
      <c r="A466" s="3" t="s">
        <v>1119</v>
      </c>
      <c r="B466" s="8" t="s">
        <v>1845</v>
      </c>
      <c r="C466" s="3" t="s">
        <v>1181</v>
      </c>
      <c r="D466" s="4" t="s">
        <v>1236</v>
      </c>
      <c r="E466" s="4" t="s">
        <v>1237</v>
      </c>
      <c r="F466" s="5">
        <v>4.4999999999999998E-2</v>
      </c>
      <c r="G466" s="6">
        <v>6</v>
      </c>
      <c r="H466" s="7">
        <v>84.17</v>
      </c>
      <c r="I466" s="7">
        <v>100</v>
      </c>
      <c r="J466" s="7">
        <v>100</v>
      </c>
      <c r="K466" s="7">
        <f t="shared" si="23"/>
        <v>505.02</v>
      </c>
      <c r="L466" s="7">
        <f t="shared" si="24"/>
        <v>600</v>
      </c>
      <c r="M466" s="14">
        <f t="shared" si="25"/>
        <v>600</v>
      </c>
    </row>
    <row r="467" spans="1:13" x14ac:dyDescent="0.35">
      <c r="A467" s="3" t="s">
        <v>1119</v>
      </c>
      <c r="B467" s="8" t="s">
        <v>1845</v>
      </c>
      <c r="C467" s="3" t="s">
        <v>1181</v>
      </c>
      <c r="D467" s="4" t="s">
        <v>1238</v>
      </c>
      <c r="E467" s="4" t="s">
        <v>1239</v>
      </c>
      <c r="F467" s="5">
        <v>0.06</v>
      </c>
      <c r="G467" s="6">
        <v>3</v>
      </c>
      <c r="H467" s="7">
        <v>127.67</v>
      </c>
      <c r="I467" s="7">
        <v>145</v>
      </c>
      <c r="J467" s="7">
        <v>150</v>
      </c>
      <c r="K467" s="7">
        <f t="shared" si="23"/>
        <v>383.01</v>
      </c>
      <c r="L467" s="7">
        <f t="shared" si="24"/>
        <v>435</v>
      </c>
      <c r="M467" s="14">
        <f t="shared" si="25"/>
        <v>450</v>
      </c>
    </row>
    <row r="468" spans="1:13" x14ac:dyDescent="0.35">
      <c r="A468" s="3" t="s">
        <v>1119</v>
      </c>
      <c r="B468" s="8" t="s">
        <v>1845</v>
      </c>
      <c r="C468" s="3" t="s">
        <v>1181</v>
      </c>
      <c r="D468" s="4" t="s">
        <v>1240</v>
      </c>
      <c r="E468" s="4" t="s">
        <v>1241</v>
      </c>
      <c r="F468" s="5">
        <v>0.05</v>
      </c>
      <c r="G468" s="6">
        <v>6</v>
      </c>
      <c r="H468" s="7">
        <v>81.83</v>
      </c>
      <c r="I468" s="7">
        <v>100</v>
      </c>
      <c r="J468" s="7">
        <v>100</v>
      </c>
      <c r="K468" s="7">
        <f t="shared" si="23"/>
        <v>490.98</v>
      </c>
      <c r="L468" s="7">
        <f t="shared" si="24"/>
        <v>600</v>
      </c>
      <c r="M468" s="14">
        <f t="shared" si="25"/>
        <v>600</v>
      </c>
    </row>
    <row r="469" spans="1:13" x14ac:dyDescent="0.35">
      <c r="A469" s="3" t="s">
        <v>1119</v>
      </c>
      <c r="B469" s="8" t="s">
        <v>1845</v>
      </c>
      <c r="C469" s="3" t="s">
        <v>1181</v>
      </c>
      <c r="D469" s="4" t="s">
        <v>1242</v>
      </c>
      <c r="E469" s="4" t="s">
        <v>1243</v>
      </c>
      <c r="F469" s="5">
        <v>0.05</v>
      </c>
      <c r="G469" s="6">
        <v>3</v>
      </c>
      <c r="H469" s="7">
        <v>249.67</v>
      </c>
      <c r="I469" s="7">
        <v>270</v>
      </c>
      <c r="J469" s="7">
        <v>290</v>
      </c>
      <c r="K469" s="7">
        <f t="shared" ref="K469:K532" si="26">H469*G469</f>
        <v>749.01</v>
      </c>
      <c r="L469" s="7">
        <f t="shared" ref="L469:L532" si="27">I469*G469</f>
        <v>810</v>
      </c>
      <c r="M469" s="14">
        <f t="shared" si="25"/>
        <v>870</v>
      </c>
    </row>
    <row r="470" spans="1:13" x14ac:dyDescent="0.35">
      <c r="A470" s="3" t="s">
        <v>1119</v>
      </c>
      <c r="B470" s="8" t="s">
        <v>1845</v>
      </c>
      <c r="C470" s="3" t="s">
        <v>1181</v>
      </c>
      <c r="D470" s="4" t="s">
        <v>1244</v>
      </c>
      <c r="E470" s="4" t="s">
        <v>1245</v>
      </c>
      <c r="F470" s="5">
        <v>0.05</v>
      </c>
      <c r="G470" s="6">
        <v>2</v>
      </c>
      <c r="H470" s="7">
        <v>231.67</v>
      </c>
      <c r="I470" s="7">
        <v>260</v>
      </c>
      <c r="J470" s="7">
        <v>270</v>
      </c>
      <c r="K470" s="7">
        <f t="shared" si="26"/>
        <v>463.34</v>
      </c>
      <c r="L470" s="7">
        <f t="shared" si="27"/>
        <v>520</v>
      </c>
      <c r="M470" s="14">
        <f t="shared" si="25"/>
        <v>540</v>
      </c>
    </row>
    <row r="471" spans="1:13" x14ac:dyDescent="0.35">
      <c r="A471" s="3" t="s">
        <v>1119</v>
      </c>
      <c r="B471" s="8" t="s">
        <v>1845</v>
      </c>
      <c r="C471" s="3" t="s">
        <v>1181</v>
      </c>
      <c r="D471" s="4" t="s">
        <v>1246</v>
      </c>
      <c r="E471" s="4" t="s">
        <v>1247</v>
      </c>
      <c r="F471" s="5">
        <v>0.05</v>
      </c>
      <c r="G471" s="6">
        <v>1</v>
      </c>
      <c r="H471" s="7">
        <v>232</v>
      </c>
      <c r="I471" s="7">
        <v>260</v>
      </c>
      <c r="J471" s="7">
        <v>270</v>
      </c>
      <c r="K471" s="7">
        <f t="shared" si="26"/>
        <v>232</v>
      </c>
      <c r="L471" s="7">
        <f t="shared" si="27"/>
        <v>260</v>
      </c>
      <c r="M471" s="14">
        <f t="shared" si="25"/>
        <v>270</v>
      </c>
    </row>
    <row r="472" spans="1:13" x14ac:dyDescent="0.35">
      <c r="A472" s="3" t="s">
        <v>1119</v>
      </c>
      <c r="B472" s="8" t="s">
        <v>1845</v>
      </c>
      <c r="C472" s="3" t="s">
        <v>1181</v>
      </c>
      <c r="D472" s="4" t="s">
        <v>1248</v>
      </c>
      <c r="E472" s="4" t="s">
        <v>1249</v>
      </c>
      <c r="F472" s="5">
        <v>0.8</v>
      </c>
      <c r="G472" s="6">
        <v>3</v>
      </c>
      <c r="H472" s="7">
        <v>71.5</v>
      </c>
      <c r="I472" s="7">
        <v>80</v>
      </c>
      <c r="J472" s="7">
        <v>80</v>
      </c>
      <c r="K472" s="7">
        <f t="shared" si="26"/>
        <v>214.5</v>
      </c>
      <c r="L472" s="7">
        <f t="shared" si="27"/>
        <v>240</v>
      </c>
      <c r="M472" s="14">
        <f t="shared" si="25"/>
        <v>240</v>
      </c>
    </row>
    <row r="473" spans="1:13" x14ac:dyDescent="0.35">
      <c r="A473" s="3" t="s">
        <v>1119</v>
      </c>
      <c r="B473" s="8" t="s">
        <v>1845</v>
      </c>
      <c r="C473" s="3" t="s">
        <v>1181</v>
      </c>
      <c r="D473" s="4" t="s">
        <v>1250</v>
      </c>
      <c r="E473" s="4" t="s">
        <v>1251</v>
      </c>
      <c r="F473" s="5">
        <v>4.4999999999999998E-2</v>
      </c>
      <c r="G473" s="6">
        <v>12</v>
      </c>
      <c r="H473" s="7">
        <v>118</v>
      </c>
      <c r="I473" s="7">
        <v>140</v>
      </c>
      <c r="J473" s="7">
        <v>150</v>
      </c>
      <c r="K473" s="7">
        <f t="shared" si="26"/>
        <v>1416</v>
      </c>
      <c r="L473" s="7">
        <f t="shared" si="27"/>
        <v>1680</v>
      </c>
      <c r="M473" s="14">
        <f t="shared" si="25"/>
        <v>1800</v>
      </c>
    </row>
    <row r="474" spans="1:13" x14ac:dyDescent="0.35">
      <c r="A474" s="3" t="s">
        <v>1119</v>
      </c>
      <c r="B474" s="8" t="s">
        <v>1845</v>
      </c>
      <c r="C474" s="3" t="s">
        <v>1181</v>
      </c>
      <c r="D474" s="4" t="s">
        <v>1252</v>
      </c>
      <c r="E474" s="4" t="s">
        <v>1253</v>
      </c>
      <c r="F474" s="5">
        <v>0.04</v>
      </c>
      <c r="G474" s="6">
        <v>3</v>
      </c>
      <c r="H474" s="7">
        <v>128.5</v>
      </c>
      <c r="I474" s="7">
        <v>145</v>
      </c>
      <c r="J474" s="7">
        <v>150</v>
      </c>
      <c r="K474" s="7">
        <f t="shared" si="26"/>
        <v>385.5</v>
      </c>
      <c r="L474" s="7">
        <f t="shared" si="27"/>
        <v>435</v>
      </c>
      <c r="M474" s="14">
        <f t="shared" si="25"/>
        <v>450</v>
      </c>
    </row>
    <row r="475" spans="1:13" x14ac:dyDescent="0.35">
      <c r="A475" s="3" t="s">
        <v>1119</v>
      </c>
      <c r="B475" s="8" t="s">
        <v>1845</v>
      </c>
      <c r="C475" s="3" t="s">
        <v>1181</v>
      </c>
      <c r="D475" s="4" t="s">
        <v>1254</v>
      </c>
      <c r="E475" s="4" t="s">
        <v>1255</v>
      </c>
      <c r="F475" s="5">
        <v>0.04</v>
      </c>
      <c r="G475" s="6">
        <v>7</v>
      </c>
      <c r="H475" s="7">
        <v>126</v>
      </c>
      <c r="I475" s="7">
        <v>140</v>
      </c>
      <c r="J475" s="7">
        <v>150</v>
      </c>
      <c r="K475" s="7">
        <f t="shared" si="26"/>
        <v>882</v>
      </c>
      <c r="L475" s="7">
        <f t="shared" si="27"/>
        <v>980</v>
      </c>
      <c r="M475" s="14">
        <f t="shared" si="25"/>
        <v>1050</v>
      </c>
    </row>
    <row r="476" spans="1:13" x14ac:dyDescent="0.35">
      <c r="A476" s="3" t="s">
        <v>1119</v>
      </c>
      <c r="B476" s="8" t="s">
        <v>1845</v>
      </c>
      <c r="C476" s="3" t="s">
        <v>1181</v>
      </c>
      <c r="D476" s="4" t="s">
        <v>1256</v>
      </c>
      <c r="E476" s="4" t="s">
        <v>1257</v>
      </c>
      <c r="F476" s="5">
        <v>0.06</v>
      </c>
      <c r="G476" s="6">
        <v>7</v>
      </c>
      <c r="H476" s="7">
        <v>126.5</v>
      </c>
      <c r="I476" s="7">
        <v>145</v>
      </c>
      <c r="J476" s="7">
        <v>150</v>
      </c>
      <c r="K476" s="7">
        <f t="shared" si="26"/>
        <v>885.5</v>
      </c>
      <c r="L476" s="7">
        <f t="shared" si="27"/>
        <v>1015</v>
      </c>
      <c r="M476" s="14">
        <f t="shared" si="25"/>
        <v>1050</v>
      </c>
    </row>
    <row r="477" spans="1:13" x14ac:dyDescent="0.35">
      <c r="A477" s="3" t="s">
        <v>1119</v>
      </c>
      <c r="B477" s="8" t="s">
        <v>1845</v>
      </c>
      <c r="C477" s="3" t="s">
        <v>1181</v>
      </c>
      <c r="D477" s="4" t="s">
        <v>1258</v>
      </c>
      <c r="E477" s="4" t="s">
        <v>1259</v>
      </c>
      <c r="F477" s="5">
        <v>5.5E-2</v>
      </c>
      <c r="G477" s="6">
        <v>1</v>
      </c>
      <c r="H477" s="7">
        <v>118</v>
      </c>
      <c r="I477" s="7">
        <v>130</v>
      </c>
      <c r="J477" s="7">
        <v>140</v>
      </c>
      <c r="K477" s="7">
        <f t="shared" si="26"/>
        <v>118</v>
      </c>
      <c r="L477" s="7">
        <f t="shared" si="27"/>
        <v>130</v>
      </c>
      <c r="M477" s="14">
        <f t="shared" si="25"/>
        <v>140</v>
      </c>
    </row>
    <row r="478" spans="1:13" x14ac:dyDescent="0.35">
      <c r="A478" s="3" t="s">
        <v>1119</v>
      </c>
      <c r="B478" s="8" t="s">
        <v>1845</v>
      </c>
      <c r="C478" s="3" t="s">
        <v>1181</v>
      </c>
      <c r="D478" s="4" t="s">
        <v>1260</v>
      </c>
      <c r="E478" s="4" t="s">
        <v>1261</v>
      </c>
      <c r="F478" s="5">
        <v>0.05</v>
      </c>
      <c r="G478" s="6">
        <v>5</v>
      </c>
      <c r="H478" s="7">
        <v>118</v>
      </c>
      <c r="I478" s="7">
        <v>140</v>
      </c>
      <c r="J478" s="7">
        <v>150</v>
      </c>
      <c r="K478" s="7">
        <f t="shared" si="26"/>
        <v>590</v>
      </c>
      <c r="L478" s="7">
        <f t="shared" si="27"/>
        <v>700</v>
      </c>
      <c r="M478" s="14">
        <f t="shared" si="25"/>
        <v>750</v>
      </c>
    </row>
    <row r="479" spans="1:13" x14ac:dyDescent="0.35">
      <c r="A479" s="3" t="s">
        <v>1119</v>
      </c>
      <c r="B479" s="8" t="s">
        <v>1845</v>
      </c>
      <c r="C479" s="3" t="s">
        <v>1181</v>
      </c>
      <c r="D479" s="4" t="s">
        <v>1262</v>
      </c>
      <c r="E479" s="4" t="s">
        <v>1263</v>
      </c>
      <c r="F479" s="5">
        <v>0.05</v>
      </c>
      <c r="G479" s="6">
        <v>3</v>
      </c>
      <c r="H479" s="7">
        <v>118</v>
      </c>
      <c r="I479" s="7">
        <v>140</v>
      </c>
      <c r="J479" s="7">
        <v>140</v>
      </c>
      <c r="K479" s="7">
        <f t="shared" si="26"/>
        <v>354</v>
      </c>
      <c r="L479" s="7">
        <f t="shared" si="27"/>
        <v>420</v>
      </c>
      <c r="M479" s="14">
        <f t="shared" si="25"/>
        <v>420</v>
      </c>
    </row>
    <row r="480" spans="1:13" x14ac:dyDescent="0.35">
      <c r="A480" s="3" t="s">
        <v>1119</v>
      </c>
      <c r="B480" s="8" t="s">
        <v>1845</v>
      </c>
      <c r="C480" s="3" t="s">
        <v>1181</v>
      </c>
      <c r="D480" s="4" t="s">
        <v>1264</v>
      </c>
      <c r="E480" s="4" t="s">
        <v>1265</v>
      </c>
      <c r="F480" s="5">
        <v>0.05</v>
      </c>
      <c r="G480" s="6">
        <v>3</v>
      </c>
      <c r="H480" s="7">
        <v>128.5</v>
      </c>
      <c r="I480" s="7">
        <v>145</v>
      </c>
      <c r="J480" s="7">
        <v>150</v>
      </c>
      <c r="K480" s="7">
        <f t="shared" si="26"/>
        <v>385.5</v>
      </c>
      <c r="L480" s="7">
        <f t="shared" si="27"/>
        <v>435</v>
      </c>
      <c r="M480" s="14">
        <f t="shared" si="25"/>
        <v>450</v>
      </c>
    </row>
    <row r="481" spans="1:13" x14ac:dyDescent="0.35">
      <c r="A481" s="3" t="s">
        <v>1119</v>
      </c>
      <c r="B481" s="8" t="s">
        <v>1845</v>
      </c>
      <c r="C481" s="3" t="s">
        <v>1181</v>
      </c>
      <c r="D481" s="4" t="s">
        <v>1266</v>
      </c>
      <c r="E481" s="4" t="s">
        <v>1267</v>
      </c>
      <c r="F481" s="5">
        <v>0.05</v>
      </c>
      <c r="G481" s="6">
        <v>3</v>
      </c>
      <c r="H481" s="7">
        <v>126.5</v>
      </c>
      <c r="I481" s="7">
        <v>145</v>
      </c>
      <c r="J481" s="7">
        <v>150</v>
      </c>
      <c r="K481" s="7">
        <f t="shared" si="26"/>
        <v>379.5</v>
      </c>
      <c r="L481" s="7">
        <f t="shared" si="27"/>
        <v>435</v>
      </c>
      <c r="M481" s="14">
        <f t="shared" si="25"/>
        <v>450</v>
      </c>
    </row>
    <row r="482" spans="1:13" x14ac:dyDescent="0.35">
      <c r="A482" s="3" t="s">
        <v>1119</v>
      </c>
      <c r="B482" s="8" t="s">
        <v>1845</v>
      </c>
      <c r="C482" s="3" t="s">
        <v>1181</v>
      </c>
      <c r="D482" s="4" t="s">
        <v>1268</v>
      </c>
      <c r="E482" s="4" t="s">
        <v>1269</v>
      </c>
      <c r="F482" s="5">
        <v>0.06</v>
      </c>
      <c r="G482" s="6">
        <v>4</v>
      </c>
      <c r="H482" s="7">
        <v>126.5</v>
      </c>
      <c r="I482" s="7">
        <v>145</v>
      </c>
      <c r="J482" s="7">
        <v>150</v>
      </c>
      <c r="K482" s="7">
        <f t="shared" si="26"/>
        <v>506</v>
      </c>
      <c r="L482" s="7">
        <f t="shared" si="27"/>
        <v>580</v>
      </c>
      <c r="M482" s="14">
        <f t="shared" si="25"/>
        <v>600</v>
      </c>
    </row>
    <row r="483" spans="1:13" x14ac:dyDescent="0.35">
      <c r="A483" s="3" t="s">
        <v>1119</v>
      </c>
      <c r="B483" s="8" t="s">
        <v>1845</v>
      </c>
      <c r="C483" s="3" t="s">
        <v>1181</v>
      </c>
      <c r="D483" s="4" t="s">
        <v>1270</v>
      </c>
      <c r="E483" s="4" t="s">
        <v>1271</v>
      </c>
      <c r="F483" s="5">
        <v>0.05</v>
      </c>
      <c r="G483" s="6">
        <v>4</v>
      </c>
      <c r="H483" s="7">
        <v>126.33</v>
      </c>
      <c r="I483" s="7">
        <v>140</v>
      </c>
      <c r="J483" s="7">
        <v>150</v>
      </c>
      <c r="K483" s="7">
        <f t="shared" si="26"/>
        <v>505.32</v>
      </c>
      <c r="L483" s="7">
        <f t="shared" si="27"/>
        <v>560</v>
      </c>
      <c r="M483" s="14">
        <f t="shared" si="25"/>
        <v>600</v>
      </c>
    </row>
    <row r="484" spans="1:13" x14ac:dyDescent="0.35">
      <c r="A484" s="3" t="s">
        <v>1119</v>
      </c>
      <c r="B484" s="8" t="s">
        <v>1845</v>
      </c>
      <c r="C484" s="3" t="s">
        <v>1181</v>
      </c>
      <c r="D484" s="4" t="s">
        <v>1272</v>
      </c>
      <c r="E484" s="4" t="s">
        <v>1273</v>
      </c>
      <c r="F484" s="5">
        <v>0.1</v>
      </c>
      <c r="G484" s="6">
        <v>6</v>
      </c>
      <c r="H484" s="7">
        <v>118</v>
      </c>
      <c r="I484" s="7">
        <v>135</v>
      </c>
      <c r="J484" s="7">
        <v>140</v>
      </c>
      <c r="K484" s="7">
        <f t="shared" si="26"/>
        <v>708</v>
      </c>
      <c r="L484" s="7">
        <f t="shared" si="27"/>
        <v>810</v>
      </c>
      <c r="M484" s="14">
        <f t="shared" si="25"/>
        <v>840</v>
      </c>
    </row>
    <row r="485" spans="1:13" x14ac:dyDescent="0.35">
      <c r="A485" s="3" t="s">
        <v>1119</v>
      </c>
      <c r="B485" s="8" t="s">
        <v>1845</v>
      </c>
      <c r="C485" s="3" t="s">
        <v>1181</v>
      </c>
      <c r="D485" s="4" t="s">
        <v>1274</v>
      </c>
      <c r="E485" s="4" t="s">
        <v>1275</v>
      </c>
      <c r="F485" s="5">
        <v>0.05</v>
      </c>
      <c r="G485" s="6">
        <v>6</v>
      </c>
      <c r="H485" s="7">
        <v>126.5</v>
      </c>
      <c r="I485" s="7">
        <v>145</v>
      </c>
      <c r="J485" s="7">
        <v>150</v>
      </c>
      <c r="K485" s="7">
        <f t="shared" si="26"/>
        <v>759</v>
      </c>
      <c r="L485" s="7">
        <f t="shared" si="27"/>
        <v>870</v>
      </c>
      <c r="M485" s="14">
        <f t="shared" si="25"/>
        <v>900</v>
      </c>
    </row>
    <row r="486" spans="1:13" x14ac:dyDescent="0.35">
      <c r="A486" s="3" t="s">
        <v>1119</v>
      </c>
      <c r="B486" s="8" t="s">
        <v>1845</v>
      </c>
      <c r="C486" s="3" t="s">
        <v>1181</v>
      </c>
      <c r="D486" s="4" t="s">
        <v>1276</v>
      </c>
      <c r="E486" s="4" t="s">
        <v>1277</v>
      </c>
      <c r="F486" s="5">
        <v>0.05</v>
      </c>
      <c r="G486" s="6">
        <v>3</v>
      </c>
      <c r="H486" s="7">
        <v>118</v>
      </c>
      <c r="I486" s="7">
        <v>140</v>
      </c>
      <c r="J486" s="7">
        <v>140</v>
      </c>
      <c r="K486" s="7">
        <f t="shared" si="26"/>
        <v>354</v>
      </c>
      <c r="L486" s="7">
        <f t="shared" si="27"/>
        <v>420</v>
      </c>
      <c r="M486" s="14">
        <f t="shared" si="25"/>
        <v>420</v>
      </c>
    </row>
    <row r="487" spans="1:13" x14ac:dyDescent="0.35">
      <c r="A487" s="3" t="s">
        <v>1119</v>
      </c>
      <c r="B487" s="8" t="s">
        <v>1845</v>
      </c>
      <c r="C487" s="3" t="s">
        <v>1181</v>
      </c>
      <c r="D487" s="4" t="s">
        <v>1278</v>
      </c>
      <c r="E487" s="4" t="s">
        <v>1279</v>
      </c>
      <c r="F487" s="5">
        <v>0.05</v>
      </c>
      <c r="G487" s="6">
        <v>3</v>
      </c>
      <c r="H487" s="7">
        <v>126.5</v>
      </c>
      <c r="I487" s="7">
        <v>145</v>
      </c>
      <c r="J487" s="7">
        <v>150</v>
      </c>
      <c r="K487" s="7">
        <f t="shared" si="26"/>
        <v>379.5</v>
      </c>
      <c r="L487" s="7">
        <f t="shared" si="27"/>
        <v>435</v>
      </c>
      <c r="M487" s="14">
        <f t="shared" si="25"/>
        <v>450</v>
      </c>
    </row>
    <row r="488" spans="1:13" x14ac:dyDescent="0.35">
      <c r="A488" s="3" t="s">
        <v>1119</v>
      </c>
      <c r="B488" s="8" t="s">
        <v>1845</v>
      </c>
      <c r="C488" s="3" t="s">
        <v>1181</v>
      </c>
      <c r="D488" s="4" t="s">
        <v>1280</v>
      </c>
      <c r="E488" s="4" t="s">
        <v>1281</v>
      </c>
      <c r="F488" s="5">
        <v>0.13</v>
      </c>
      <c r="G488" s="6">
        <v>3</v>
      </c>
      <c r="H488" s="7">
        <v>128.5</v>
      </c>
      <c r="I488" s="7">
        <v>140</v>
      </c>
      <c r="J488" s="7">
        <v>140</v>
      </c>
      <c r="K488" s="7">
        <f t="shared" si="26"/>
        <v>385.5</v>
      </c>
      <c r="L488" s="7">
        <f t="shared" si="27"/>
        <v>420</v>
      </c>
      <c r="M488" s="14">
        <f t="shared" si="25"/>
        <v>420</v>
      </c>
    </row>
    <row r="489" spans="1:13" x14ac:dyDescent="0.35">
      <c r="A489" s="3" t="s">
        <v>1119</v>
      </c>
      <c r="B489" s="8" t="s">
        <v>1845</v>
      </c>
      <c r="C489" s="3" t="s">
        <v>1181</v>
      </c>
      <c r="D489" s="4" t="s">
        <v>1282</v>
      </c>
      <c r="E489" s="4" t="s">
        <v>1283</v>
      </c>
      <c r="F489" s="5">
        <v>0.05</v>
      </c>
      <c r="G489" s="6">
        <v>4</v>
      </c>
      <c r="H489" s="7">
        <v>101</v>
      </c>
      <c r="I489" s="7">
        <v>120</v>
      </c>
      <c r="J489" s="7">
        <v>120</v>
      </c>
      <c r="K489" s="7">
        <f t="shared" si="26"/>
        <v>404</v>
      </c>
      <c r="L489" s="7">
        <f t="shared" si="27"/>
        <v>480</v>
      </c>
      <c r="M489" s="14">
        <f t="shared" si="25"/>
        <v>480</v>
      </c>
    </row>
    <row r="490" spans="1:13" x14ac:dyDescent="0.35">
      <c r="A490" s="3" t="s">
        <v>1119</v>
      </c>
      <c r="B490" s="8" t="s">
        <v>1845</v>
      </c>
      <c r="C490" s="3" t="s">
        <v>1181</v>
      </c>
      <c r="D490" s="4" t="s">
        <v>1284</v>
      </c>
      <c r="E490" s="4" t="s">
        <v>1285</v>
      </c>
      <c r="F490" s="5">
        <v>0.05</v>
      </c>
      <c r="G490" s="6">
        <v>0</v>
      </c>
      <c r="H490" s="7">
        <v>102</v>
      </c>
      <c r="I490" s="7">
        <v>120</v>
      </c>
      <c r="J490" s="7">
        <v>120</v>
      </c>
      <c r="K490" s="7">
        <f t="shared" si="26"/>
        <v>0</v>
      </c>
      <c r="L490" s="7">
        <f t="shared" si="27"/>
        <v>0</v>
      </c>
      <c r="M490" s="14">
        <f t="shared" si="25"/>
        <v>0</v>
      </c>
    </row>
    <row r="491" spans="1:13" x14ac:dyDescent="0.35">
      <c r="A491" s="3" t="s">
        <v>1119</v>
      </c>
      <c r="B491" s="8" t="s">
        <v>1845</v>
      </c>
      <c r="C491" s="3" t="s">
        <v>1181</v>
      </c>
      <c r="D491" s="4" t="s">
        <v>1286</v>
      </c>
      <c r="E491" s="4" t="s">
        <v>1287</v>
      </c>
      <c r="F491" s="5">
        <v>0.05</v>
      </c>
      <c r="G491" s="6">
        <v>3</v>
      </c>
      <c r="H491" s="7">
        <v>126.5</v>
      </c>
      <c r="I491" s="7">
        <v>145</v>
      </c>
      <c r="J491" s="7">
        <v>150</v>
      </c>
      <c r="K491" s="7">
        <f t="shared" si="26"/>
        <v>379.5</v>
      </c>
      <c r="L491" s="7">
        <f t="shared" si="27"/>
        <v>435</v>
      </c>
      <c r="M491" s="14">
        <f t="shared" si="25"/>
        <v>450</v>
      </c>
    </row>
    <row r="492" spans="1:13" x14ac:dyDescent="0.35">
      <c r="A492" s="3" t="s">
        <v>1119</v>
      </c>
      <c r="B492" s="8" t="s">
        <v>1845</v>
      </c>
      <c r="C492" s="3" t="s">
        <v>1181</v>
      </c>
      <c r="D492" s="4" t="s">
        <v>1288</v>
      </c>
      <c r="E492" s="4" t="s">
        <v>1289</v>
      </c>
      <c r="F492" s="5">
        <v>0.05</v>
      </c>
      <c r="G492" s="6">
        <v>11</v>
      </c>
      <c r="H492" s="7">
        <v>126.5</v>
      </c>
      <c r="I492" s="7">
        <v>145</v>
      </c>
      <c r="J492" s="7">
        <v>150</v>
      </c>
      <c r="K492" s="7">
        <f t="shared" si="26"/>
        <v>1391.5</v>
      </c>
      <c r="L492" s="7">
        <f t="shared" si="27"/>
        <v>1595</v>
      </c>
      <c r="M492" s="14">
        <f t="shared" si="25"/>
        <v>1650</v>
      </c>
    </row>
    <row r="493" spans="1:13" x14ac:dyDescent="0.35">
      <c r="A493" s="3" t="s">
        <v>1119</v>
      </c>
      <c r="B493" s="8" t="s">
        <v>1845</v>
      </c>
      <c r="C493" s="3" t="s">
        <v>1181</v>
      </c>
      <c r="D493" s="4" t="s">
        <v>1290</v>
      </c>
      <c r="E493" s="4" t="s">
        <v>1291</v>
      </c>
      <c r="F493" s="5">
        <v>0.05</v>
      </c>
      <c r="G493" s="6">
        <v>3</v>
      </c>
      <c r="H493" s="7">
        <v>109</v>
      </c>
      <c r="I493" s="7">
        <v>125</v>
      </c>
      <c r="J493" s="7">
        <v>125</v>
      </c>
      <c r="K493" s="7">
        <f t="shared" si="26"/>
        <v>327</v>
      </c>
      <c r="L493" s="7">
        <f t="shared" si="27"/>
        <v>375</v>
      </c>
      <c r="M493" s="14">
        <f t="shared" si="25"/>
        <v>375</v>
      </c>
    </row>
    <row r="494" spans="1:13" x14ac:dyDescent="0.35">
      <c r="A494" s="3" t="s">
        <v>1119</v>
      </c>
      <c r="B494" s="8" t="s">
        <v>1845</v>
      </c>
      <c r="C494" s="3" t="s">
        <v>1181</v>
      </c>
      <c r="D494" s="4" t="s">
        <v>1292</v>
      </c>
      <c r="E494" s="4" t="s">
        <v>1293</v>
      </c>
      <c r="F494" s="5">
        <v>0.05</v>
      </c>
      <c r="G494" s="6">
        <v>1</v>
      </c>
      <c r="H494" s="7">
        <v>118</v>
      </c>
      <c r="I494" s="7">
        <v>140</v>
      </c>
      <c r="J494" s="7">
        <v>140</v>
      </c>
      <c r="K494" s="7">
        <f t="shared" si="26"/>
        <v>118</v>
      </c>
      <c r="L494" s="7">
        <f t="shared" si="27"/>
        <v>140</v>
      </c>
      <c r="M494" s="14">
        <f t="shared" si="25"/>
        <v>140</v>
      </c>
    </row>
    <row r="495" spans="1:13" x14ac:dyDescent="0.35">
      <c r="A495" s="3" t="s">
        <v>1119</v>
      </c>
      <c r="B495" s="8" t="s">
        <v>1845</v>
      </c>
      <c r="C495" s="3" t="s">
        <v>1181</v>
      </c>
      <c r="D495" s="4" t="s">
        <v>1294</v>
      </c>
      <c r="E495" s="4" t="s">
        <v>1295</v>
      </c>
      <c r="F495" s="5">
        <v>0.05</v>
      </c>
      <c r="G495" s="6">
        <v>5</v>
      </c>
      <c r="H495" s="7">
        <v>108.92</v>
      </c>
      <c r="I495" s="7">
        <v>125</v>
      </c>
      <c r="J495" s="7">
        <v>125</v>
      </c>
      <c r="K495" s="7">
        <f t="shared" si="26"/>
        <v>544.6</v>
      </c>
      <c r="L495" s="7">
        <f t="shared" si="27"/>
        <v>625</v>
      </c>
      <c r="M495" s="14">
        <f t="shared" si="25"/>
        <v>625</v>
      </c>
    </row>
    <row r="496" spans="1:13" x14ac:dyDescent="0.35">
      <c r="A496" s="3" t="s">
        <v>1119</v>
      </c>
      <c r="B496" s="8" t="s">
        <v>1845</v>
      </c>
      <c r="C496" s="3" t="s">
        <v>1181</v>
      </c>
      <c r="D496" s="4" t="s">
        <v>1296</v>
      </c>
      <c r="E496" s="4" t="s">
        <v>1297</v>
      </c>
      <c r="F496" s="5">
        <v>0.04</v>
      </c>
      <c r="G496" s="6">
        <v>2</v>
      </c>
      <c r="H496" s="7">
        <v>118</v>
      </c>
      <c r="I496" s="7">
        <v>135</v>
      </c>
      <c r="J496" s="7">
        <v>140</v>
      </c>
      <c r="K496" s="7">
        <f t="shared" si="26"/>
        <v>236</v>
      </c>
      <c r="L496" s="7">
        <f t="shared" si="27"/>
        <v>270</v>
      </c>
      <c r="M496" s="14">
        <f t="shared" si="25"/>
        <v>280</v>
      </c>
    </row>
    <row r="497" spans="1:13" x14ac:dyDescent="0.35">
      <c r="A497" s="3" t="s">
        <v>1119</v>
      </c>
      <c r="B497" s="8" t="s">
        <v>1845</v>
      </c>
      <c r="C497" s="3" t="s">
        <v>1181</v>
      </c>
      <c r="D497" s="4" t="s">
        <v>1298</v>
      </c>
      <c r="E497" s="4" t="s">
        <v>1299</v>
      </c>
      <c r="F497" s="5">
        <v>0.05</v>
      </c>
      <c r="G497" s="6">
        <v>3</v>
      </c>
      <c r="H497" s="7">
        <v>112</v>
      </c>
      <c r="I497" s="7">
        <v>125</v>
      </c>
      <c r="J497" s="7">
        <v>125</v>
      </c>
      <c r="K497" s="7">
        <f t="shared" si="26"/>
        <v>336</v>
      </c>
      <c r="L497" s="7">
        <f t="shared" si="27"/>
        <v>375</v>
      </c>
      <c r="M497" s="14">
        <f t="shared" si="25"/>
        <v>375</v>
      </c>
    </row>
    <row r="498" spans="1:13" x14ac:dyDescent="0.35">
      <c r="A498" s="3" t="s">
        <v>1119</v>
      </c>
      <c r="B498" s="8" t="s">
        <v>1845</v>
      </c>
      <c r="C498" s="3" t="s">
        <v>1181</v>
      </c>
      <c r="D498" s="4" t="s">
        <v>1300</v>
      </c>
      <c r="E498" s="4" t="s">
        <v>1301</v>
      </c>
      <c r="F498" s="5">
        <v>0.3</v>
      </c>
      <c r="G498" s="6">
        <v>1</v>
      </c>
      <c r="H498" s="7">
        <v>313.5</v>
      </c>
      <c r="I498" s="7">
        <v>340</v>
      </c>
      <c r="J498" s="7">
        <v>350</v>
      </c>
      <c r="K498" s="7">
        <f t="shared" si="26"/>
        <v>313.5</v>
      </c>
      <c r="L498" s="7">
        <f t="shared" si="27"/>
        <v>340</v>
      </c>
      <c r="M498" s="14">
        <f t="shared" si="25"/>
        <v>350</v>
      </c>
    </row>
    <row r="499" spans="1:13" x14ac:dyDescent="0.35">
      <c r="A499" s="3" t="s">
        <v>1119</v>
      </c>
      <c r="B499" s="8" t="s">
        <v>1845</v>
      </c>
      <c r="C499" s="3" t="s">
        <v>1181</v>
      </c>
      <c r="D499" s="4" t="s">
        <v>1302</v>
      </c>
      <c r="E499" s="4" t="s">
        <v>1303</v>
      </c>
      <c r="F499" s="5">
        <v>0.3</v>
      </c>
      <c r="G499" s="6">
        <v>1</v>
      </c>
      <c r="H499" s="7">
        <v>334</v>
      </c>
      <c r="I499" s="7">
        <v>350</v>
      </c>
      <c r="J499" s="7">
        <v>350</v>
      </c>
      <c r="K499" s="7">
        <f t="shared" si="26"/>
        <v>334</v>
      </c>
      <c r="L499" s="7">
        <f t="shared" si="27"/>
        <v>350</v>
      </c>
      <c r="M499" s="14">
        <f t="shared" si="25"/>
        <v>350</v>
      </c>
    </row>
    <row r="500" spans="1:13" x14ac:dyDescent="0.35">
      <c r="A500" s="3" t="s">
        <v>1119</v>
      </c>
      <c r="B500" s="8" t="s">
        <v>1845</v>
      </c>
      <c r="C500" s="3" t="s">
        <v>1181</v>
      </c>
      <c r="D500" s="4" t="s">
        <v>1304</v>
      </c>
      <c r="E500" s="4" t="s">
        <v>1305</v>
      </c>
      <c r="F500" s="5">
        <v>2.5000000000000001E-2</v>
      </c>
      <c r="G500" s="6">
        <v>4</v>
      </c>
      <c r="H500" s="7">
        <v>71</v>
      </c>
      <c r="I500" s="7">
        <v>80</v>
      </c>
      <c r="J500" s="7">
        <v>80</v>
      </c>
      <c r="K500" s="7">
        <f t="shared" si="26"/>
        <v>284</v>
      </c>
      <c r="L500" s="7">
        <f t="shared" si="27"/>
        <v>320</v>
      </c>
      <c r="M500" s="14">
        <f t="shared" si="25"/>
        <v>320</v>
      </c>
    </row>
    <row r="501" spans="1:13" x14ac:dyDescent="0.35">
      <c r="A501" s="3" t="s">
        <v>1119</v>
      </c>
      <c r="B501" s="8" t="s">
        <v>1845</v>
      </c>
      <c r="C501" s="3" t="s">
        <v>1181</v>
      </c>
      <c r="D501" s="4" t="s">
        <v>1306</v>
      </c>
      <c r="E501" s="4" t="s">
        <v>1307</v>
      </c>
      <c r="F501" s="5">
        <v>2.5000000000000001E-2</v>
      </c>
      <c r="G501" s="6">
        <v>3</v>
      </c>
      <c r="H501" s="7">
        <v>96.67</v>
      </c>
      <c r="I501" s="7">
        <v>110</v>
      </c>
      <c r="J501" s="7">
        <v>110</v>
      </c>
      <c r="K501" s="7">
        <f t="shared" si="26"/>
        <v>290.01</v>
      </c>
      <c r="L501" s="7">
        <f t="shared" si="27"/>
        <v>330</v>
      </c>
      <c r="M501" s="14">
        <f t="shared" si="25"/>
        <v>330</v>
      </c>
    </row>
    <row r="502" spans="1:13" x14ac:dyDescent="0.35">
      <c r="A502" s="3" t="s">
        <v>1119</v>
      </c>
      <c r="B502" s="8" t="s">
        <v>1845</v>
      </c>
      <c r="C502" s="3" t="s">
        <v>1181</v>
      </c>
      <c r="D502" s="4" t="s">
        <v>1308</v>
      </c>
      <c r="E502" s="4" t="s">
        <v>1309</v>
      </c>
      <c r="F502" s="5">
        <v>0.05</v>
      </c>
      <c r="G502" s="6">
        <v>2</v>
      </c>
      <c r="H502" s="7">
        <v>180</v>
      </c>
      <c r="I502" s="7">
        <v>200</v>
      </c>
      <c r="J502" s="7">
        <v>210</v>
      </c>
      <c r="K502" s="7">
        <f t="shared" si="26"/>
        <v>360</v>
      </c>
      <c r="L502" s="7">
        <f t="shared" si="27"/>
        <v>400</v>
      </c>
      <c r="M502" s="14">
        <f t="shared" si="25"/>
        <v>420</v>
      </c>
    </row>
    <row r="503" spans="1:13" x14ac:dyDescent="0.35">
      <c r="A503" s="3" t="s">
        <v>1119</v>
      </c>
      <c r="B503" s="8" t="s">
        <v>1845</v>
      </c>
      <c r="C503" s="3" t="s">
        <v>1181</v>
      </c>
      <c r="D503" s="4" t="s">
        <v>1310</v>
      </c>
      <c r="E503" s="4" t="s">
        <v>1311</v>
      </c>
      <c r="F503" s="5">
        <v>0</v>
      </c>
      <c r="G503" s="6">
        <v>3</v>
      </c>
      <c r="H503" s="7">
        <v>132</v>
      </c>
      <c r="I503" s="7">
        <v>145</v>
      </c>
      <c r="J503" s="7">
        <v>155</v>
      </c>
      <c r="K503" s="7">
        <f t="shared" si="26"/>
        <v>396</v>
      </c>
      <c r="L503" s="7">
        <f t="shared" si="27"/>
        <v>435</v>
      </c>
      <c r="M503" s="14">
        <f t="shared" si="25"/>
        <v>465</v>
      </c>
    </row>
    <row r="504" spans="1:13" x14ac:dyDescent="0.35">
      <c r="A504" s="3" t="s">
        <v>1119</v>
      </c>
      <c r="B504" s="8" t="s">
        <v>1845</v>
      </c>
      <c r="C504" s="3" t="s">
        <v>1181</v>
      </c>
      <c r="D504" s="4" t="s">
        <v>1312</v>
      </c>
      <c r="E504" s="4" t="s">
        <v>1313</v>
      </c>
      <c r="F504" s="5">
        <v>0</v>
      </c>
      <c r="G504" s="6">
        <v>2</v>
      </c>
      <c r="H504" s="7">
        <v>129</v>
      </c>
      <c r="I504" s="7">
        <v>140</v>
      </c>
      <c r="J504" s="7">
        <v>145</v>
      </c>
      <c r="K504" s="7">
        <f t="shared" si="26"/>
        <v>258</v>
      </c>
      <c r="L504" s="7">
        <f t="shared" si="27"/>
        <v>280</v>
      </c>
      <c r="M504" s="14">
        <f t="shared" si="25"/>
        <v>290</v>
      </c>
    </row>
    <row r="505" spans="1:13" ht="15" customHeight="1" x14ac:dyDescent="0.35">
      <c r="A505" s="3" t="s">
        <v>1119</v>
      </c>
      <c r="B505" s="8" t="s">
        <v>1120</v>
      </c>
      <c r="C505" s="3" t="s">
        <v>1121</v>
      </c>
      <c r="D505" s="4" t="s">
        <v>1126</v>
      </c>
      <c r="E505" s="4" t="s">
        <v>1127</v>
      </c>
      <c r="F505" s="5">
        <v>5.5E-2</v>
      </c>
      <c r="G505" s="6">
        <v>6</v>
      </c>
      <c r="H505" s="7">
        <v>131.1</v>
      </c>
      <c r="I505" s="7">
        <v>145</v>
      </c>
      <c r="J505" s="7">
        <v>150</v>
      </c>
      <c r="K505" s="7">
        <f t="shared" si="26"/>
        <v>786.59999999999991</v>
      </c>
      <c r="L505" s="7">
        <f t="shared" si="27"/>
        <v>870</v>
      </c>
      <c r="M505" s="14">
        <f t="shared" si="25"/>
        <v>900</v>
      </c>
    </row>
    <row r="506" spans="1:13" x14ac:dyDescent="0.35">
      <c r="A506" s="3" t="s">
        <v>1119</v>
      </c>
      <c r="B506" s="8" t="s">
        <v>1120</v>
      </c>
      <c r="C506" s="3" t="s">
        <v>1314</v>
      </c>
      <c r="D506" s="4" t="s">
        <v>1321</v>
      </c>
      <c r="E506" s="4" t="s">
        <v>1322</v>
      </c>
      <c r="F506" s="5">
        <v>0.8</v>
      </c>
      <c r="G506" s="6">
        <v>6</v>
      </c>
      <c r="H506" s="7">
        <v>353.93</v>
      </c>
      <c r="I506" s="7">
        <v>400</v>
      </c>
      <c r="J506" s="7">
        <v>400</v>
      </c>
      <c r="K506" s="7">
        <f t="shared" si="26"/>
        <v>2123.58</v>
      </c>
      <c r="L506" s="7">
        <f t="shared" si="27"/>
        <v>2400</v>
      </c>
      <c r="M506" s="14">
        <f t="shared" si="25"/>
        <v>2400</v>
      </c>
    </row>
    <row r="507" spans="1:13" x14ac:dyDescent="0.35">
      <c r="A507" s="3" t="s">
        <v>1119</v>
      </c>
      <c r="B507" s="8" t="s">
        <v>1120</v>
      </c>
      <c r="C507" s="3" t="s">
        <v>1121</v>
      </c>
      <c r="D507" s="4" t="s">
        <v>1155</v>
      </c>
      <c r="E507" s="4" t="s">
        <v>1156</v>
      </c>
      <c r="F507" s="5">
        <v>0.05</v>
      </c>
      <c r="G507" s="6">
        <v>7</v>
      </c>
      <c r="H507" s="7">
        <v>61.35</v>
      </c>
      <c r="I507" s="7">
        <v>70</v>
      </c>
      <c r="J507" s="7">
        <v>70</v>
      </c>
      <c r="K507" s="7">
        <f t="shared" si="26"/>
        <v>429.45</v>
      </c>
      <c r="L507" s="7">
        <f t="shared" si="27"/>
        <v>490</v>
      </c>
      <c r="M507" s="14">
        <f t="shared" si="25"/>
        <v>490</v>
      </c>
    </row>
    <row r="508" spans="1:13" x14ac:dyDescent="0.35">
      <c r="A508" s="3" t="s">
        <v>1119</v>
      </c>
      <c r="B508" s="8" t="s">
        <v>1120</v>
      </c>
      <c r="C508" s="3" t="s">
        <v>1121</v>
      </c>
      <c r="D508" s="4" t="s">
        <v>1173</v>
      </c>
      <c r="E508" s="4" t="s">
        <v>1174</v>
      </c>
      <c r="F508" s="5">
        <v>0.8</v>
      </c>
      <c r="G508" s="6">
        <v>8</v>
      </c>
      <c r="H508" s="7">
        <v>48.75</v>
      </c>
      <c r="I508" s="7">
        <v>60</v>
      </c>
      <c r="J508" s="7">
        <v>60</v>
      </c>
      <c r="K508" s="7">
        <f t="shared" si="26"/>
        <v>390</v>
      </c>
      <c r="L508" s="7">
        <f t="shared" si="27"/>
        <v>480</v>
      </c>
      <c r="M508" s="14">
        <f t="shared" si="25"/>
        <v>480</v>
      </c>
    </row>
    <row r="509" spans="1:13" x14ac:dyDescent="0.35">
      <c r="A509" s="3" t="s">
        <v>1119</v>
      </c>
      <c r="B509" s="8" t="s">
        <v>1120</v>
      </c>
      <c r="C509" s="3" t="s">
        <v>1121</v>
      </c>
      <c r="D509" s="4" t="s">
        <v>1179</v>
      </c>
      <c r="E509" s="4" t="s">
        <v>1180</v>
      </c>
      <c r="F509" s="5">
        <v>1.4999999999999999E-2</v>
      </c>
      <c r="G509" s="6">
        <v>8</v>
      </c>
      <c r="H509" s="7">
        <v>35</v>
      </c>
      <c r="I509" s="7">
        <v>40</v>
      </c>
      <c r="J509" s="7">
        <v>40</v>
      </c>
      <c r="K509" s="7">
        <f t="shared" si="26"/>
        <v>280</v>
      </c>
      <c r="L509" s="7">
        <f t="shared" si="27"/>
        <v>320</v>
      </c>
      <c r="M509" s="14">
        <f t="shared" si="25"/>
        <v>320</v>
      </c>
    </row>
    <row r="510" spans="1:13" x14ac:dyDescent="0.35">
      <c r="A510" s="3" t="s">
        <v>1119</v>
      </c>
      <c r="B510" s="8" t="s">
        <v>1120</v>
      </c>
      <c r="C510" s="3" t="s">
        <v>1121</v>
      </c>
      <c r="D510" s="4" t="s">
        <v>1150</v>
      </c>
      <c r="E510" s="4" t="s">
        <v>1151</v>
      </c>
      <c r="F510" s="5">
        <v>0.05</v>
      </c>
      <c r="G510" s="6">
        <v>10</v>
      </c>
      <c r="H510" s="7">
        <v>71.97</v>
      </c>
      <c r="I510" s="7">
        <v>80</v>
      </c>
      <c r="J510" s="7">
        <v>80</v>
      </c>
      <c r="K510" s="7">
        <f t="shared" si="26"/>
        <v>719.7</v>
      </c>
      <c r="L510" s="7">
        <f t="shared" si="27"/>
        <v>800</v>
      </c>
      <c r="M510" s="14">
        <f t="shared" si="25"/>
        <v>800</v>
      </c>
    </row>
    <row r="511" spans="1:13" x14ac:dyDescent="0.35">
      <c r="A511" s="3" t="s">
        <v>1119</v>
      </c>
      <c r="B511" s="8" t="s">
        <v>1120</v>
      </c>
      <c r="C511" s="3" t="s">
        <v>1121</v>
      </c>
      <c r="D511" s="4" t="s">
        <v>1171</v>
      </c>
      <c r="E511" s="4" t="s">
        <v>1172</v>
      </c>
      <c r="F511" s="5">
        <v>0.8</v>
      </c>
      <c r="G511" s="6">
        <v>10</v>
      </c>
      <c r="H511" s="7">
        <v>48.75</v>
      </c>
      <c r="I511" s="7">
        <v>60</v>
      </c>
      <c r="J511" s="7">
        <v>70</v>
      </c>
      <c r="K511" s="7">
        <f t="shared" si="26"/>
        <v>487.5</v>
      </c>
      <c r="L511" s="7">
        <f t="shared" si="27"/>
        <v>600</v>
      </c>
      <c r="M511" s="14">
        <f t="shared" si="25"/>
        <v>700</v>
      </c>
    </row>
    <row r="512" spans="1:13" x14ac:dyDescent="0.35">
      <c r="A512" s="3" t="s">
        <v>1119</v>
      </c>
      <c r="B512" s="8" t="s">
        <v>1120</v>
      </c>
      <c r="C512" s="3" t="s">
        <v>1121</v>
      </c>
      <c r="D512" s="4" t="s">
        <v>1154</v>
      </c>
      <c r="E512" s="4" t="s">
        <v>1862</v>
      </c>
      <c r="F512" s="5">
        <v>0</v>
      </c>
      <c r="G512" s="6">
        <v>11</v>
      </c>
      <c r="H512" s="7">
        <v>68.86</v>
      </c>
      <c r="I512" s="7">
        <v>80</v>
      </c>
      <c r="J512" s="7">
        <v>80</v>
      </c>
      <c r="K512" s="7">
        <f t="shared" si="26"/>
        <v>757.46</v>
      </c>
      <c r="L512" s="7">
        <f t="shared" si="27"/>
        <v>880</v>
      </c>
      <c r="M512" s="14">
        <f t="shared" si="25"/>
        <v>880</v>
      </c>
    </row>
    <row r="513" spans="1:13" x14ac:dyDescent="0.35">
      <c r="A513" s="3" t="s">
        <v>1119</v>
      </c>
      <c r="B513" s="8" t="s">
        <v>1120</v>
      </c>
      <c r="C513" s="3" t="s">
        <v>1121</v>
      </c>
      <c r="D513" s="4" t="s">
        <v>1148</v>
      </c>
      <c r="E513" s="4" t="s">
        <v>1149</v>
      </c>
      <c r="F513" s="5">
        <v>0</v>
      </c>
      <c r="G513" s="6">
        <v>14</v>
      </c>
      <c r="H513" s="7">
        <v>68.86</v>
      </c>
      <c r="I513" s="7">
        <v>80</v>
      </c>
      <c r="J513" s="7">
        <v>80</v>
      </c>
      <c r="K513" s="7">
        <f t="shared" si="26"/>
        <v>964.04</v>
      </c>
      <c r="L513" s="7">
        <f t="shared" si="27"/>
        <v>1120</v>
      </c>
      <c r="M513" s="14">
        <f t="shared" si="25"/>
        <v>1120</v>
      </c>
    </row>
    <row r="514" spans="1:13" ht="15" customHeight="1" x14ac:dyDescent="0.35">
      <c r="A514" s="3" t="s">
        <v>1119</v>
      </c>
      <c r="B514" s="8" t="s">
        <v>1846</v>
      </c>
      <c r="C514" s="3" t="s">
        <v>1325</v>
      </c>
      <c r="D514" s="4" t="s">
        <v>1326</v>
      </c>
      <c r="E514" s="4" t="s">
        <v>1327</v>
      </c>
      <c r="F514" s="5">
        <v>0.12</v>
      </c>
      <c r="G514" s="6">
        <v>4</v>
      </c>
      <c r="H514" s="7">
        <v>68.13</v>
      </c>
      <c r="I514" s="7">
        <v>80</v>
      </c>
      <c r="J514" s="7">
        <v>80</v>
      </c>
      <c r="K514" s="7">
        <f t="shared" si="26"/>
        <v>272.52</v>
      </c>
      <c r="L514" s="7">
        <f t="shared" si="27"/>
        <v>320</v>
      </c>
      <c r="M514" s="14">
        <f t="shared" si="25"/>
        <v>320</v>
      </c>
    </row>
    <row r="515" spans="1:13" x14ac:dyDescent="0.35">
      <c r="A515" s="3" t="s">
        <v>1119</v>
      </c>
      <c r="B515" s="8" t="s">
        <v>1846</v>
      </c>
      <c r="C515" s="3" t="s">
        <v>1325</v>
      </c>
      <c r="D515" s="4" t="s">
        <v>1328</v>
      </c>
      <c r="E515" s="4" t="s">
        <v>1329</v>
      </c>
      <c r="F515" s="5">
        <v>0.27500000000000002</v>
      </c>
      <c r="G515" s="6">
        <v>2</v>
      </c>
      <c r="H515" s="7">
        <v>133.66</v>
      </c>
      <c r="I515" s="7">
        <v>150</v>
      </c>
      <c r="J515" s="7">
        <v>150</v>
      </c>
      <c r="K515" s="7">
        <f t="shared" si="26"/>
        <v>267.32</v>
      </c>
      <c r="L515" s="7">
        <f t="shared" si="27"/>
        <v>300</v>
      </c>
      <c r="M515" s="14">
        <f t="shared" si="25"/>
        <v>300</v>
      </c>
    </row>
    <row r="516" spans="1:13" x14ac:dyDescent="0.35">
      <c r="A516" s="3" t="s">
        <v>1119</v>
      </c>
      <c r="B516" s="8" t="s">
        <v>1846</v>
      </c>
      <c r="C516" s="3" t="s">
        <v>1325</v>
      </c>
      <c r="D516" s="4" t="s">
        <v>1330</v>
      </c>
      <c r="E516" s="4" t="s">
        <v>1331</v>
      </c>
      <c r="F516" s="5">
        <v>0.12</v>
      </c>
      <c r="G516" s="6">
        <v>4</v>
      </c>
      <c r="H516" s="7">
        <v>73.37</v>
      </c>
      <c r="I516" s="7">
        <v>90</v>
      </c>
      <c r="J516" s="7">
        <v>100</v>
      </c>
      <c r="K516" s="7">
        <f t="shared" si="26"/>
        <v>293.48</v>
      </c>
      <c r="L516" s="7">
        <f t="shared" si="27"/>
        <v>360</v>
      </c>
      <c r="M516" s="14">
        <f t="shared" si="25"/>
        <v>400</v>
      </c>
    </row>
    <row r="517" spans="1:13" x14ac:dyDescent="0.35">
      <c r="A517" s="3" t="s">
        <v>1119</v>
      </c>
      <c r="B517" s="8" t="s">
        <v>1846</v>
      </c>
      <c r="C517" s="3" t="s">
        <v>1325</v>
      </c>
      <c r="D517" s="4" t="s">
        <v>1332</v>
      </c>
      <c r="E517" s="4" t="s">
        <v>1333</v>
      </c>
      <c r="F517" s="5">
        <v>0.27500000000000002</v>
      </c>
      <c r="G517" s="6">
        <v>3</v>
      </c>
      <c r="H517" s="7">
        <v>141.19999999999999</v>
      </c>
      <c r="I517" s="7">
        <v>160</v>
      </c>
      <c r="J517" s="7">
        <v>180</v>
      </c>
      <c r="K517" s="7">
        <f t="shared" si="26"/>
        <v>423.59999999999997</v>
      </c>
      <c r="L517" s="7">
        <f t="shared" si="27"/>
        <v>480</v>
      </c>
      <c r="M517" s="14">
        <f t="shared" si="25"/>
        <v>540</v>
      </c>
    </row>
    <row r="518" spans="1:13" x14ac:dyDescent="0.35">
      <c r="A518" s="3" t="s">
        <v>1119</v>
      </c>
      <c r="B518" s="8" t="s">
        <v>1846</v>
      </c>
      <c r="C518" s="3" t="s">
        <v>1325</v>
      </c>
      <c r="D518" s="4" t="s">
        <v>1334</v>
      </c>
      <c r="E518" s="4" t="s">
        <v>1335</v>
      </c>
      <c r="F518" s="5">
        <v>0.12</v>
      </c>
      <c r="G518" s="6">
        <v>5</v>
      </c>
      <c r="H518" s="7">
        <v>59.3</v>
      </c>
      <c r="I518" s="7">
        <v>70</v>
      </c>
      <c r="J518" s="7">
        <v>80</v>
      </c>
      <c r="K518" s="7">
        <f t="shared" si="26"/>
        <v>296.5</v>
      </c>
      <c r="L518" s="7">
        <f t="shared" si="27"/>
        <v>350</v>
      </c>
      <c r="M518" s="14">
        <f t="shared" si="25"/>
        <v>400</v>
      </c>
    </row>
    <row r="519" spans="1:13" x14ac:dyDescent="0.35">
      <c r="A519" s="3" t="s">
        <v>1119</v>
      </c>
      <c r="B519" s="8" t="s">
        <v>1846</v>
      </c>
      <c r="C519" s="3" t="s">
        <v>1325</v>
      </c>
      <c r="D519" s="4" t="s">
        <v>1336</v>
      </c>
      <c r="E519" s="4" t="s">
        <v>1337</v>
      </c>
      <c r="F519" s="5">
        <v>0.3</v>
      </c>
      <c r="G519" s="6">
        <v>4</v>
      </c>
      <c r="H519" s="7">
        <v>108.54</v>
      </c>
      <c r="I519" s="7">
        <v>120</v>
      </c>
      <c r="J519" s="7">
        <v>120</v>
      </c>
      <c r="K519" s="7">
        <f t="shared" si="26"/>
        <v>434.16</v>
      </c>
      <c r="L519" s="7">
        <f t="shared" si="27"/>
        <v>480</v>
      </c>
      <c r="M519" s="14">
        <f t="shared" si="25"/>
        <v>480</v>
      </c>
    </row>
    <row r="520" spans="1:13" x14ac:dyDescent="0.35">
      <c r="A520" s="3" t="s">
        <v>1119</v>
      </c>
      <c r="B520" s="8" t="s">
        <v>1846</v>
      </c>
      <c r="C520" s="3" t="s">
        <v>1325</v>
      </c>
      <c r="D520" s="4" t="s">
        <v>1338</v>
      </c>
      <c r="E520" s="4" t="s">
        <v>1339</v>
      </c>
      <c r="F520" s="5">
        <v>0.7</v>
      </c>
      <c r="G520" s="6">
        <v>2</v>
      </c>
      <c r="H520" s="7">
        <v>178.7</v>
      </c>
      <c r="I520" s="7">
        <v>200</v>
      </c>
      <c r="J520" s="7">
        <v>220</v>
      </c>
      <c r="K520" s="7">
        <f t="shared" si="26"/>
        <v>357.4</v>
      </c>
      <c r="L520" s="7">
        <f t="shared" si="27"/>
        <v>400</v>
      </c>
      <c r="M520" s="14">
        <f t="shared" si="25"/>
        <v>440</v>
      </c>
    </row>
    <row r="521" spans="1:13" x14ac:dyDescent="0.35">
      <c r="A521" s="3" t="s">
        <v>1119</v>
      </c>
      <c r="B521" s="8" t="s">
        <v>1846</v>
      </c>
      <c r="C521" s="3" t="s">
        <v>1325</v>
      </c>
      <c r="D521" s="4" t="s">
        <v>1340</v>
      </c>
      <c r="E521" s="4" t="s">
        <v>1341</v>
      </c>
      <c r="F521" s="5">
        <v>7.0000000000000007E-2</v>
      </c>
      <c r="G521" s="6">
        <v>4</v>
      </c>
      <c r="H521" s="7">
        <v>34.840000000000003</v>
      </c>
      <c r="I521" s="7">
        <v>50</v>
      </c>
      <c r="J521" s="7">
        <v>50</v>
      </c>
      <c r="K521" s="7">
        <f t="shared" si="26"/>
        <v>139.36000000000001</v>
      </c>
      <c r="L521" s="7">
        <f t="shared" si="27"/>
        <v>200</v>
      </c>
      <c r="M521" s="14">
        <f t="shared" si="25"/>
        <v>200</v>
      </c>
    </row>
    <row r="522" spans="1:13" x14ac:dyDescent="0.35">
      <c r="A522" s="3" t="s">
        <v>1119</v>
      </c>
      <c r="B522" s="8" t="s">
        <v>1846</v>
      </c>
      <c r="C522" s="3" t="s">
        <v>1325</v>
      </c>
      <c r="D522" s="4" t="s">
        <v>1342</v>
      </c>
      <c r="E522" s="4" t="s">
        <v>1343</v>
      </c>
      <c r="F522" s="5">
        <v>0.22500000000000001</v>
      </c>
      <c r="G522" s="6">
        <v>2</v>
      </c>
      <c r="H522" s="7">
        <v>104.52</v>
      </c>
      <c r="I522" s="7">
        <v>130</v>
      </c>
      <c r="J522" s="7">
        <v>130</v>
      </c>
      <c r="K522" s="7">
        <f t="shared" si="26"/>
        <v>209.04</v>
      </c>
      <c r="L522" s="7">
        <f t="shared" si="27"/>
        <v>260</v>
      </c>
      <c r="M522" s="14">
        <f t="shared" si="25"/>
        <v>260</v>
      </c>
    </row>
    <row r="523" spans="1:13" x14ac:dyDescent="0.35">
      <c r="A523" s="3" t="s">
        <v>1119</v>
      </c>
      <c r="B523" s="8" t="s">
        <v>1846</v>
      </c>
      <c r="C523" s="3" t="s">
        <v>1325</v>
      </c>
      <c r="D523" s="4" t="s">
        <v>1344</v>
      </c>
      <c r="E523" s="4" t="s">
        <v>1345</v>
      </c>
      <c r="F523" s="5">
        <v>0.4</v>
      </c>
      <c r="G523" s="6">
        <v>2</v>
      </c>
      <c r="H523" s="7">
        <v>181.92</v>
      </c>
      <c r="I523" s="7">
        <v>230</v>
      </c>
      <c r="J523" s="7">
        <v>230</v>
      </c>
      <c r="K523" s="7">
        <f t="shared" si="26"/>
        <v>363.84</v>
      </c>
      <c r="L523" s="7">
        <f t="shared" si="27"/>
        <v>460</v>
      </c>
      <c r="M523" s="14">
        <f t="shared" si="25"/>
        <v>460</v>
      </c>
    </row>
    <row r="524" spans="1:13" x14ac:dyDescent="0.35">
      <c r="A524" s="3" t="s">
        <v>1119</v>
      </c>
      <c r="B524" s="8" t="s">
        <v>1846</v>
      </c>
      <c r="C524" s="3" t="s">
        <v>1325</v>
      </c>
      <c r="D524" s="4" t="s">
        <v>1346</v>
      </c>
      <c r="E524" s="4" t="s">
        <v>1347</v>
      </c>
      <c r="F524" s="5">
        <v>0.4</v>
      </c>
      <c r="G524" s="6">
        <v>1</v>
      </c>
      <c r="H524" s="7">
        <v>182</v>
      </c>
      <c r="I524" s="7">
        <v>220</v>
      </c>
      <c r="J524" s="7">
        <v>230</v>
      </c>
      <c r="K524" s="7">
        <f t="shared" si="26"/>
        <v>182</v>
      </c>
      <c r="L524" s="7">
        <f t="shared" si="27"/>
        <v>220</v>
      </c>
      <c r="M524" s="14">
        <f t="shared" ref="M524:M587" si="28">J524*G524</f>
        <v>230</v>
      </c>
    </row>
    <row r="525" spans="1:13" x14ac:dyDescent="0.35">
      <c r="A525" s="3" t="s">
        <v>1119</v>
      </c>
      <c r="B525" s="8" t="s">
        <v>1846</v>
      </c>
      <c r="C525" s="3" t="s">
        <v>1325</v>
      </c>
      <c r="D525" s="4" t="s">
        <v>1348</v>
      </c>
      <c r="E525" s="4" t="s">
        <v>1349</v>
      </c>
      <c r="F525" s="5">
        <v>0.2</v>
      </c>
      <c r="G525" s="6">
        <v>4</v>
      </c>
      <c r="H525" s="7">
        <v>88.77</v>
      </c>
      <c r="I525" s="7">
        <v>100</v>
      </c>
      <c r="J525" s="7">
        <v>100</v>
      </c>
      <c r="K525" s="7">
        <f t="shared" si="26"/>
        <v>355.08</v>
      </c>
      <c r="L525" s="7">
        <f t="shared" si="27"/>
        <v>400</v>
      </c>
      <c r="M525" s="14">
        <f t="shared" si="28"/>
        <v>400</v>
      </c>
    </row>
    <row r="526" spans="1:13" x14ac:dyDescent="0.35">
      <c r="A526" s="3" t="s">
        <v>1119</v>
      </c>
      <c r="B526" s="8" t="s">
        <v>1846</v>
      </c>
      <c r="C526" s="3" t="s">
        <v>1325</v>
      </c>
      <c r="D526" s="4" t="s">
        <v>1350</v>
      </c>
      <c r="E526" s="4" t="s">
        <v>1351</v>
      </c>
      <c r="F526" s="5">
        <v>0.32500000000000001</v>
      </c>
      <c r="G526" s="6">
        <v>1</v>
      </c>
      <c r="H526" s="7">
        <v>259.29000000000002</v>
      </c>
      <c r="I526" s="7">
        <v>300</v>
      </c>
      <c r="J526" s="7">
        <v>300</v>
      </c>
      <c r="K526" s="7">
        <f t="shared" si="26"/>
        <v>259.29000000000002</v>
      </c>
      <c r="L526" s="7">
        <f t="shared" si="27"/>
        <v>300</v>
      </c>
      <c r="M526" s="14">
        <f t="shared" si="28"/>
        <v>300</v>
      </c>
    </row>
    <row r="527" spans="1:13" x14ac:dyDescent="0.35">
      <c r="A527" s="3" t="s">
        <v>1119</v>
      </c>
      <c r="B527" s="8" t="s">
        <v>1846</v>
      </c>
      <c r="C527" s="3" t="s">
        <v>1325</v>
      </c>
      <c r="D527" s="4" t="s">
        <v>1352</v>
      </c>
      <c r="E527" s="4" t="s">
        <v>1353</v>
      </c>
      <c r="F527" s="5">
        <v>7.0000000000000007E-2</v>
      </c>
      <c r="G527" s="6">
        <v>6</v>
      </c>
      <c r="H527" s="7">
        <v>44.06</v>
      </c>
      <c r="I527" s="7">
        <v>50</v>
      </c>
      <c r="J527" s="7">
        <v>50</v>
      </c>
      <c r="K527" s="7">
        <f t="shared" si="26"/>
        <v>264.36</v>
      </c>
      <c r="L527" s="7">
        <f t="shared" si="27"/>
        <v>300</v>
      </c>
      <c r="M527" s="14">
        <f t="shared" si="28"/>
        <v>300</v>
      </c>
    </row>
    <row r="528" spans="1:13" x14ac:dyDescent="0.35">
      <c r="A528" s="3" t="s">
        <v>1119</v>
      </c>
      <c r="B528" s="8" t="s">
        <v>1846</v>
      </c>
      <c r="C528" s="3" t="s">
        <v>1325</v>
      </c>
      <c r="D528" s="4" t="s">
        <v>1354</v>
      </c>
      <c r="E528" s="4" t="s">
        <v>1355</v>
      </c>
      <c r="F528" s="5">
        <v>0.27500000000000002</v>
      </c>
      <c r="G528" s="6">
        <v>3</v>
      </c>
      <c r="H528" s="7">
        <v>363.31</v>
      </c>
      <c r="I528" s="7">
        <v>400</v>
      </c>
      <c r="J528" s="7">
        <v>420</v>
      </c>
      <c r="K528" s="7">
        <f t="shared" si="26"/>
        <v>1089.93</v>
      </c>
      <c r="L528" s="7">
        <f t="shared" si="27"/>
        <v>1200</v>
      </c>
      <c r="M528" s="14">
        <f t="shared" si="28"/>
        <v>1260</v>
      </c>
    </row>
    <row r="529" spans="1:13" x14ac:dyDescent="0.35">
      <c r="A529" s="3" t="s">
        <v>1119</v>
      </c>
      <c r="B529" s="8" t="s">
        <v>1846</v>
      </c>
      <c r="C529" s="3" t="s">
        <v>1325</v>
      </c>
      <c r="D529" s="4" t="s">
        <v>1356</v>
      </c>
      <c r="E529" s="4" t="s">
        <v>1357</v>
      </c>
      <c r="F529" s="5">
        <v>0.12</v>
      </c>
      <c r="G529" s="6">
        <v>4</v>
      </c>
      <c r="H529" s="7">
        <v>200.5</v>
      </c>
      <c r="I529" s="7">
        <v>230</v>
      </c>
      <c r="J529" s="7">
        <v>250</v>
      </c>
      <c r="K529" s="7">
        <f t="shared" si="26"/>
        <v>802</v>
      </c>
      <c r="L529" s="7">
        <f t="shared" si="27"/>
        <v>920</v>
      </c>
      <c r="M529" s="14">
        <f t="shared" si="28"/>
        <v>1000</v>
      </c>
    </row>
    <row r="530" spans="1:13" x14ac:dyDescent="0.35">
      <c r="A530" s="3" t="s">
        <v>1119</v>
      </c>
      <c r="B530" s="8" t="s">
        <v>1846</v>
      </c>
      <c r="C530" s="3" t="s">
        <v>1325</v>
      </c>
      <c r="D530" s="4" t="s">
        <v>1358</v>
      </c>
      <c r="E530" s="4" t="s">
        <v>1359</v>
      </c>
      <c r="F530" s="5">
        <v>0.21</v>
      </c>
      <c r="G530" s="6">
        <v>3</v>
      </c>
      <c r="H530" s="7">
        <v>105</v>
      </c>
      <c r="I530" s="7">
        <v>130</v>
      </c>
      <c r="J530" s="7">
        <v>130</v>
      </c>
      <c r="K530" s="7">
        <f t="shared" si="26"/>
        <v>315</v>
      </c>
      <c r="L530" s="7">
        <f t="shared" si="27"/>
        <v>390</v>
      </c>
      <c r="M530" s="14">
        <f t="shared" si="28"/>
        <v>390</v>
      </c>
    </row>
    <row r="531" spans="1:13" x14ac:dyDescent="0.35">
      <c r="A531" s="3" t="s">
        <v>1119</v>
      </c>
      <c r="B531" s="8" t="s">
        <v>1846</v>
      </c>
      <c r="C531" s="3" t="s">
        <v>1325</v>
      </c>
      <c r="D531" s="4" t="s">
        <v>1360</v>
      </c>
      <c r="E531" s="4" t="s">
        <v>1361</v>
      </c>
      <c r="F531" s="5">
        <v>2.5000000000000001E-2</v>
      </c>
      <c r="G531" s="6">
        <v>3</v>
      </c>
      <c r="H531" s="7">
        <v>16.5</v>
      </c>
      <c r="I531" s="7">
        <v>20</v>
      </c>
      <c r="J531" s="7">
        <v>20</v>
      </c>
      <c r="K531" s="7">
        <f t="shared" si="26"/>
        <v>49.5</v>
      </c>
      <c r="L531" s="7">
        <f t="shared" si="27"/>
        <v>60</v>
      </c>
      <c r="M531" s="14">
        <f t="shared" si="28"/>
        <v>60</v>
      </c>
    </row>
    <row r="532" spans="1:13" x14ac:dyDescent="0.35">
      <c r="A532" s="3" t="s">
        <v>1119</v>
      </c>
      <c r="B532" s="8" t="s">
        <v>1846</v>
      </c>
      <c r="C532" s="3" t="s">
        <v>1325</v>
      </c>
      <c r="D532" s="4" t="s">
        <v>1362</v>
      </c>
      <c r="E532" s="4" t="s">
        <v>1363</v>
      </c>
      <c r="F532" s="5">
        <v>2.5000000000000001E-2</v>
      </c>
      <c r="G532" s="6">
        <v>12</v>
      </c>
      <c r="H532" s="7">
        <v>17.68</v>
      </c>
      <c r="I532" s="7">
        <v>20</v>
      </c>
      <c r="J532" s="7">
        <v>20</v>
      </c>
      <c r="K532" s="7">
        <f t="shared" si="26"/>
        <v>212.16</v>
      </c>
      <c r="L532" s="7">
        <f t="shared" si="27"/>
        <v>240</v>
      </c>
      <c r="M532" s="14">
        <f t="shared" si="28"/>
        <v>240</v>
      </c>
    </row>
    <row r="533" spans="1:13" x14ac:dyDescent="0.35">
      <c r="A533" s="3" t="s">
        <v>1119</v>
      </c>
      <c r="B533" s="8" t="s">
        <v>1846</v>
      </c>
      <c r="C533" s="3" t="s">
        <v>1325</v>
      </c>
      <c r="D533" s="4" t="s">
        <v>1364</v>
      </c>
      <c r="E533" s="4" t="s">
        <v>1365</v>
      </c>
      <c r="F533" s="5">
        <v>0.75</v>
      </c>
      <c r="G533" s="6">
        <v>1</v>
      </c>
      <c r="H533" s="7">
        <v>580.38</v>
      </c>
      <c r="I533" s="7">
        <v>650</v>
      </c>
      <c r="J533" s="7">
        <v>700</v>
      </c>
      <c r="K533" s="7">
        <f t="shared" ref="K533:K596" si="29">H533*G533</f>
        <v>580.38</v>
      </c>
      <c r="L533" s="7">
        <f t="shared" ref="L533:L596" si="30">I533*G533</f>
        <v>650</v>
      </c>
      <c r="M533" s="14">
        <f t="shared" si="28"/>
        <v>700</v>
      </c>
    </row>
    <row r="534" spans="1:13" x14ac:dyDescent="0.35">
      <c r="A534" s="3" t="s">
        <v>1119</v>
      </c>
      <c r="B534" s="8" t="s">
        <v>1846</v>
      </c>
      <c r="C534" s="3" t="s">
        <v>1325</v>
      </c>
      <c r="D534" s="4" t="s">
        <v>1366</v>
      </c>
      <c r="E534" s="4" t="s">
        <v>1367</v>
      </c>
      <c r="F534" s="5">
        <v>0.39</v>
      </c>
      <c r="G534" s="6">
        <v>2</v>
      </c>
      <c r="H534" s="7">
        <v>347.73</v>
      </c>
      <c r="I534" s="7">
        <v>400</v>
      </c>
      <c r="J534" s="7">
        <v>400</v>
      </c>
      <c r="K534" s="7">
        <f t="shared" si="29"/>
        <v>695.46</v>
      </c>
      <c r="L534" s="7">
        <f t="shared" si="30"/>
        <v>800</v>
      </c>
      <c r="M534" s="14">
        <f t="shared" si="28"/>
        <v>800</v>
      </c>
    </row>
    <row r="535" spans="1:13" x14ac:dyDescent="0.35">
      <c r="A535" s="3" t="s">
        <v>1119</v>
      </c>
      <c r="B535" s="8" t="s">
        <v>1846</v>
      </c>
      <c r="C535" s="3" t="s">
        <v>1325</v>
      </c>
      <c r="D535" s="4" t="s">
        <v>1368</v>
      </c>
      <c r="E535" s="4" t="s">
        <v>1369</v>
      </c>
      <c r="F535" s="5">
        <v>0.25</v>
      </c>
      <c r="G535" s="6">
        <v>7</v>
      </c>
      <c r="H535" s="7">
        <v>58</v>
      </c>
      <c r="I535" s="7">
        <v>70</v>
      </c>
      <c r="J535" s="7">
        <v>70</v>
      </c>
      <c r="K535" s="7">
        <f t="shared" si="29"/>
        <v>406</v>
      </c>
      <c r="L535" s="7">
        <f t="shared" si="30"/>
        <v>490</v>
      </c>
      <c r="M535" s="14">
        <f t="shared" si="28"/>
        <v>490</v>
      </c>
    </row>
    <row r="536" spans="1:13" x14ac:dyDescent="0.35">
      <c r="A536" s="3" t="s">
        <v>1119</v>
      </c>
      <c r="B536" s="8" t="s">
        <v>1846</v>
      </c>
      <c r="C536" s="3" t="s">
        <v>1325</v>
      </c>
      <c r="D536" s="4" t="s">
        <v>1370</v>
      </c>
      <c r="E536" s="4" t="s">
        <v>1371</v>
      </c>
      <c r="F536" s="5">
        <v>1</v>
      </c>
      <c r="G536" s="6">
        <v>0</v>
      </c>
      <c r="H536" s="7">
        <v>184.92</v>
      </c>
      <c r="I536" s="7">
        <v>220</v>
      </c>
      <c r="J536" s="7">
        <v>220</v>
      </c>
      <c r="K536" s="7">
        <f t="shared" si="29"/>
        <v>0</v>
      </c>
      <c r="L536" s="7">
        <f t="shared" si="30"/>
        <v>0</v>
      </c>
      <c r="M536" s="14">
        <f t="shared" si="28"/>
        <v>0</v>
      </c>
    </row>
    <row r="537" spans="1:13" x14ac:dyDescent="0.35">
      <c r="A537" s="3" t="s">
        <v>1411</v>
      </c>
      <c r="B537" s="3" t="s">
        <v>1415</v>
      </c>
      <c r="C537" s="3" t="s">
        <v>1415</v>
      </c>
      <c r="D537" s="4" t="s">
        <v>1416</v>
      </c>
      <c r="E537" s="4" t="s">
        <v>406</v>
      </c>
      <c r="F537" s="5">
        <v>0</v>
      </c>
      <c r="G537" s="6">
        <v>0</v>
      </c>
      <c r="H537" s="7">
        <v>0</v>
      </c>
      <c r="I537" s="7">
        <v>0</v>
      </c>
      <c r="J537" s="7">
        <v>0</v>
      </c>
      <c r="K537" s="7">
        <f t="shared" si="29"/>
        <v>0</v>
      </c>
      <c r="L537" s="7">
        <f t="shared" si="30"/>
        <v>0</v>
      </c>
      <c r="M537" s="14">
        <f t="shared" si="28"/>
        <v>0</v>
      </c>
    </row>
    <row r="538" spans="1:13" x14ac:dyDescent="0.35">
      <c r="A538" s="3" t="s">
        <v>1372</v>
      </c>
      <c r="B538" s="3" t="s">
        <v>1863</v>
      </c>
      <c r="C538" s="3" t="s">
        <v>1390</v>
      </c>
      <c r="D538" s="4" t="s">
        <v>1397</v>
      </c>
      <c r="E538" s="4" t="s">
        <v>1398</v>
      </c>
      <c r="F538" s="5">
        <v>0</v>
      </c>
      <c r="G538" s="6">
        <v>2</v>
      </c>
      <c r="H538" s="7">
        <v>363.72</v>
      </c>
      <c r="I538" s="7">
        <v>420</v>
      </c>
      <c r="J538" s="7">
        <v>450</v>
      </c>
      <c r="K538" s="7">
        <f t="shared" si="29"/>
        <v>727.44</v>
      </c>
      <c r="L538" s="7">
        <f t="shared" si="30"/>
        <v>840</v>
      </c>
      <c r="M538" s="14">
        <f t="shared" si="28"/>
        <v>900</v>
      </c>
    </row>
    <row r="539" spans="1:13" x14ac:dyDescent="0.35">
      <c r="A539" s="3" t="s">
        <v>1372</v>
      </c>
      <c r="B539" s="3" t="s">
        <v>1863</v>
      </c>
      <c r="C539" s="3" t="s">
        <v>1390</v>
      </c>
      <c r="D539" s="4" t="s">
        <v>1401</v>
      </c>
      <c r="E539" s="4" t="s">
        <v>1402</v>
      </c>
      <c r="F539" s="5">
        <v>0</v>
      </c>
      <c r="G539" s="6"/>
      <c r="H539" s="7">
        <v>363.72</v>
      </c>
      <c r="I539" s="7">
        <v>420</v>
      </c>
      <c r="J539" s="7">
        <v>450</v>
      </c>
      <c r="K539" s="7">
        <f t="shared" si="29"/>
        <v>0</v>
      </c>
      <c r="L539" s="7">
        <f t="shared" si="30"/>
        <v>0</v>
      </c>
      <c r="M539" s="14">
        <f t="shared" si="28"/>
        <v>0</v>
      </c>
    </row>
    <row r="540" spans="1:13" x14ac:dyDescent="0.35">
      <c r="A540" s="3" t="s">
        <v>1372</v>
      </c>
      <c r="B540" s="3" t="s">
        <v>1863</v>
      </c>
      <c r="C540" s="3" t="s">
        <v>1390</v>
      </c>
      <c r="D540" s="4" t="s">
        <v>1405</v>
      </c>
      <c r="E540" s="4" t="s">
        <v>1406</v>
      </c>
      <c r="F540" s="5">
        <v>0</v>
      </c>
      <c r="G540" s="6"/>
      <c r="H540" s="7">
        <v>265.58999999999997</v>
      </c>
      <c r="I540" s="7">
        <v>300</v>
      </c>
      <c r="J540" s="7">
        <v>320</v>
      </c>
      <c r="K540" s="7">
        <f t="shared" si="29"/>
        <v>0</v>
      </c>
      <c r="L540" s="7">
        <f t="shared" si="30"/>
        <v>0</v>
      </c>
      <c r="M540" s="14">
        <f t="shared" si="28"/>
        <v>0</v>
      </c>
    </row>
    <row r="541" spans="1:13" x14ac:dyDescent="0.35">
      <c r="A541" s="3" t="s">
        <v>1411</v>
      </c>
      <c r="B541" s="3" t="s">
        <v>1415</v>
      </c>
      <c r="C541" s="3" t="s">
        <v>1415</v>
      </c>
      <c r="D541" s="4" t="s">
        <v>1425</v>
      </c>
      <c r="E541" s="4" t="s">
        <v>1426</v>
      </c>
      <c r="F541" s="5">
        <v>2.75</v>
      </c>
      <c r="G541" s="6">
        <v>1</v>
      </c>
      <c r="H541" s="7">
        <v>140</v>
      </c>
      <c r="I541" s="7">
        <v>200</v>
      </c>
      <c r="J541" s="7">
        <v>200</v>
      </c>
      <c r="K541" s="7">
        <f t="shared" si="29"/>
        <v>140</v>
      </c>
      <c r="L541" s="7">
        <f t="shared" si="30"/>
        <v>200</v>
      </c>
      <c r="M541" s="14">
        <f t="shared" si="28"/>
        <v>200</v>
      </c>
    </row>
    <row r="542" spans="1:13" x14ac:dyDescent="0.35">
      <c r="A542" s="3" t="s">
        <v>1372</v>
      </c>
      <c r="B542" s="3" t="s">
        <v>1865</v>
      </c>
      <c r="C542" s="3" t="s">
        <v>1374</v>
      </c>
      <c r="D542" s="4" t="s">
        <v>1385</v>
      </c>
      <c r="E542" s="4" t="s">
        <v>1386</v>
      </c>
      <c r="F542" s="5">
        <v>0</v>
      </c>
      <c r="G542" s="6">
        <v>6</v>
      </c>
      <c r="H542" s="7">
        <v>488</v>
      </c>
      <c r="I542" s="7">
        <v>550</v>
      </c>
      <c r="J542" s="7">
        <v>550</v>
      </c>
      <c r="K542" s="7">
        <f t="shared" si="29"/>
        <v>2928</v>
      </c>
      <c r="L542" s="7">
        <f t="shared" si="30"/>
        <v>3300</v>
      </c>
      <c r="M542" s="14">
        <f t="shared" si="28"/>
        <v>3300</v>
      </c>
    </row>
    <row r="543" spans="1:13" x14ac:dyDescent="0.35">
      <c r="A543" s="3" t="s">
        <v>1372</v>
      </c>
      <c r="B543" s="3" t="s">
        <v>1863</v>
      </c>
      <c r="C543" s="3" t="s">
        <v>1390</v>
      </c>
      <c r="D543" s="4" t="s">
        <v>1393</v>
      </c>
      <c r="E543" s="4" t="s">
        <v>1394</v>
      </c>
      <c r="F543" s="5">
        <v>0</v>
      </c>
      <c r="G543" s="6"/>
      <c r="H543" s="7">
        <v>265.60000000000002</v>
      </c>
      <c r="I543" s="7">
        <v>320</v>
      </c>
      <c r="J543" s="7">
        <v>320</v>
      </c>
      <c r="K543" s="7">
        <f t="shared" si="29"/>
        <v>0</v>
      </c>
      <c r="L543" s="7">
        <f t="shared" si="30"/>
        <v>0</v>
      </c>
      <c r="M543" s="14">
        <f t="shared" si="28"/>
        <v>0</v>
      </c>
    </row>
    <row r="544" spans="1:13" x14ac:dyDescent="0.35">
      <c r="A544" s="3" t="s">
        <v>1372</v>
      </c>
      <c r="B544" s="3" t="s">
        <v>1863</v>
      </c>
      <c r="C544" s="3" t="s">
        <v>1390</v>
      </c>
      <c r="D544" s="4" t="s">
        <v>1399</v>
      </c>
      <c r="E544" s="4" t="s">
        <v>1400</v>
      </c>
      <c r="F544" s="5">
        <v>0</v>
      </c>
      <c r="G544" s="6">
        <v>1</v>
      </c>
      <c r="H544" s="7">
        <v>184.57</v>
      </c>
      <c r="I544" s="7">
        <v>220</v>
      </c>
      <c r="J544" s="7">
        <v>220</v>
      </c>
      <c r="K544" s="7">
        <f t="shared" si="29"/>
        <v>184.57</v>
      </c>
      <c r="L544" s="7">
        <f t="shared" si="30"/>
        <v>220</v>
      </c>
      <c r="M544" s="14">
        <f t="shared" si="28"/>
        <v>220</v>
      </c>
    </row>
    <row r="545" spans="1:13" x14ac:dyDescent="0.35">
      <c r="A545" s="3" t="s">
        <v>1372</v>
      </c>
      <c r="B545" s="3" t="s">
        <v>1373</v>
      </c>
      <c r="C545" s="3" t="s">
        <v>1390</v>
      </c>
      <c r="D545" s="4" t="s">
        <v>1391</v>
      </c>
      <c r="E545" s="4" t="s">
        <v>1392</v>
      </c>
      <c r="F545" s="5">
        <v>0</v>
      </c>
      <c r="G545" s="6">
        <v>1</v>
      </c>
      <c r="H545" s="7">
        <v>2736.14</v>
      </c>
      <c r="I545" s="7">
        <v>2800</v>
      </c>
      <c r="J545" s="7">
        <v>2800</v>
      </c>
      <c r="K545" s="7">
        <f t="shared" si="29"/>
        <v>2736.14</v>
      </c>
      <c r="L545" s="7">
        <f t="shared" si="30"/>
        <v>2800</v>
      </c>
      <c r="M545" s="14">
        <f t="shared" si="28"/>
        <v>2800</v>
      </c>
    </row>
    <row r="546" spans="1:13" ht="15" customHeight="1" x14ac:dyDescent="0.35">
      <c r="A546" s="3" t="s">
        <v>1441</v>
      </c>
      <c r="B546" s="3" t="s">
        <v>1373</v>
      </c>
      <c r="C546" s="3" t="s">
        <v>1553</v>
      </c>
      <c r="D546" s="4" t="s">
        <v>1554</v>
      </c>
      <c r="E546" s="4" t="s">
        <v>1555</v>
      </c>
      <c r="F546" s="5">
        <v>0.18</v>
      </c>
      <c r="G546" s="6">
        <v>1</v>
      </c>
      <c r="H546" s="7">
        <v>420</v>
      </c>
      <c r="I546" s="7">
        <v>440</v>
      </c>
      <c r="J546" s="7">
        <v>450</v>
      </c>
      <c r="K546" s="7">
        <f t="shared" si="29"/>
        <v>420</v>
      </c>
      <c r="L546" s="7">
        <f t="shared" si="30"/>
        <v>440</v>
      </c>
      <c r="M546" s="14">
        <f t="shared" si="28"/>
        <v>450</v>
      </c>
    </row>
    <row r="547" spans="1:13" x14ac:dyDescent="0.35">
      <c r="A547" s="3" t="s">
        <v>1583</v>
      </c>
      <c r="B547" s="3" t="s">
        <v>1373</v>
      </c>
      <c r="C547" s="3" t="s">
        <v>508</v>
      </c>
      <c r="D547" s="4" t="s">
        <v>1609</v>
      </c>
      <c r="E547" s="4" t="s">
        <v>1610</v>
      </c>
      <c r="F547" s="5">
        <v>0</v>
      </c>
      <c r="G547" s="6">
        <v>1</v>
      </c>
      <c r="H547" s="7">
        <v>170</v>
      </c>
      <c r="I547" s="7">
        <v>200</v>
      </c>
      <c r="J547" s="7">
        <v>220</v>
      </c>
      <c r="K547" s="7">
        <f t="shared" si="29"/>
        <v>170</v>
      </c>
      <c r="L547" s="7">
        <f t="shared" si="30"/>
        <v>200</v>
      </c>
      <c r="M547" s="14">
        <f t="shared" si="28"/>
        <v>220</v>
      </c>
    </row>
    <row r="548" spans="1:13" x14ac:dyDescent="0.35">
      <c r="A548" s="3" t="s">
        <v>1372</v>
      </c>
      <c r="B548" s="3" t="s">
        <v>1373</v>
      </c>
      <c r="C548" s="3" t="s">
        <v>1387</v>
      </c>
      <c r="D548" s="4" t="s">
        <v>1388</v>
      </c>
      <c r="E548" s="4" t="s">
        <v>1389</v>
      </c>
      <c r="F548" s="5">
        <v>0</v>
      </c>
      <c r="G548" s="6">
        <v>1</v>
      </c>
      <c r="H548" s="7">
        <v>1070</v>
      </c>
      <c r="I548" s="7">
        <v>1150</v>
      </c>
      <c r="J548" s="7">
        <v>1150</v>
      </c>
      <c r="K548" s="7">
        <f t="shared" si="29"/>
        <v>1070</v>
      </c>
      <c r="L548" s="7">
        <f t="shared" si="30"/>
        <v>1150</v>
      </c>
      <c r="M548" s="14">
        <f t="shared" si="28"/>
        <v>1150</v>
      </c>
    </row>
    <row r="549" spans="1:13" x14ac:dyDescent="0.35">
      <c r="A549" s="3" t="s">
        <v>1441</v>
      </c>
      <c r="B549" s="3" t="s">
        <v>1373</v>
      </c>
      <c r="C549" s="3" t="s">
        <v>1553</v>
      </c>
      <c r="D549" s="4" t="s">
        <v>1556</v>
      </c>
      <c r="E549" s="4" t="s">
        <v>1557</v>
      </c>
      <c r="F549" s="5">
        <v>0.36</v>
      </c>
      <c r="G549" s="6">
        <v>1</v>
      </c>
      <c r="H549" s="7">
        <v>662.38</v>
      </c>
      <c r="I549" s="7">
        <v>730</v>
      </c>
      <c r="J549" s="7">
        <v>730</v>
      </c>
      <c r="K549" s="7">
        <f t="shared" si="29"/>
        <v>662.38</v>
      </c>
      <c r="L549" s="7">
        <f t="shared" si="30"/>
        <v>730</v>
      </c>
      <c r="M549" s="14">
        <f t="shared" si="28"/>
        <v>730</v>
      </c>
    </row>
    <row r="550" spans="1:13" x14ac:dyDescent="0.35">
      <c r="A550" s="3" t="s">
        <v>1411</v>
      </c>
      <c r="B550" s="3" t="s">
        <v>1373</v>
      </c>
      <c r="C550" s="3" t="s">
        <v>1413</v>
      </c>
      <c r="D550" s="4" t="s">
        <v>387</v>
      </c>
      <c r="E550" s="4" t="s">
        <v>1414</v>
      </c>
      <c r="F550" s="5">
        <v>0</v>
      </c>
      <c r="G550" s="6">
        <v>5</v>
      </c>
      <c r="H550" s="7">
        <v>115</v>
      </c>
      <c r="I550" s="7">
        <v>150</v>
      </c>
      <c r="J550" s="7">
        <v>150</v>
      </c>
      <c r="K550" s="7">
        <f t="shared" si="29"/>
        <v>575</v>
      </c>
      <c r="L550" s="7">
        <f t="shared" si="30"/>
        <v>750</v>
      </c>
      <c r="M550" s="14">
        <f t="shared" si="28"/>
        <v>750</v>
      </c>
    </row>
    <row r="551" spans="1:13" x14ac:dyDescent="0.35">
      <c r="A551" s="3" t="s">
        <v>1372</v>
      </c>
      <c r="B551" s="3" t="s">
        <v>1863</v>
      </c>
      <c r="C551" s="3" t="s">
        <v>1390</v>
      </c>
      <c r="D551" s="4" t="s">
        <v>1395</v>
      </c>
      <c r="E551" s="4" t="s">
        <v>1396</v>
      </c>
      <c r="F551" s="5">
        <v>0</v>
      </c>
      <c r="G551" s="6">
        <v>1</v>
      </c>
      <c r="H551" s="7">
        <v>184.57</v>
      </c>
      <c r="I551" s="7">
        <v>220</v>
      </c>
      <c r="J551" s="7">
        <v>220</v>
      </c>
      <c r="K551" s="7">
        <f t="shared" si="29"/>
        <v>184.57</v>
      </c>
      <c r="L551" s="7">
        <f t="shared" si="30"/>
        <v>220</v>
      </c>
      <c r="M551" s="14">
        <f t="shared" si="28"/>
        <v>220</v>
      </c>
    </row>
    <row r="552" spans="1:13" x14ac:dyDescent="0.35">
      <c r="A552" s="3" t="s">
        <v>529</v>
      </c>
      <c r="B552" s="11" t="s">
        <v>1373</v>
      </c>
      <c r="C552" s="3" t="s">
        <v>566</v>
      </c>
      <c r="D552" s="4" t="s">
        <v>567</v>
      </c>
      <c r="E552" s="4" t="s">
        <v>568</v>
      </c>
      <c r="F552" s="5">
        <v>0.125</v>
      </c>
      <c r="G552" s="10">
        <v>5</v>
      </c>
      <c r="H552" s="7">
        <v>162.5</v>
      </c>
      <c r="I552" s="7">
        <v>170</v>
      </c>
      <c r="J552" s="7">
        <v>175</v>
      </c>
      <c r="K552" s="7">
        <f t="shared" si="29"/>
        <v>812.5</v>
      </c>
      <c r="L552" s="7">
        <f t="shared" si="30"/>
        <v>850</v>
      </c>
      <c r="M552" s="14">
        <f t="shared" si="28"/>
        <v>875</v>
      </c>
    </row>
    <row r="553" spans="1:13" x14ac:dyDescent="0.35">
      <c r="A553" s="3" t="s">
        <v>1411</v>
      </c>
      <c r="B553" s="3" t="s">
        <v>1373</v>
      </c>
      <c r="C553" s="3" t="s">
        <v>1412</v>
      </c>
      <c r="D553" s="4" t="s">
        <v>1429</v>
      </c>
      <c r="E553" s="4" t="s">
        <v>1430</v>
      </c>
      <c r="F553" s="5">
        <v>0</v>
      </c>
      <c r="G553" s="6">
        <v>6</v>
      </c>
      <c r="H553" s="7">
        <v>165</v>
      </c>
      <c r="I553" s="7">
        <v>190</v>
      </c>
      <c r="J553" s="7">
        <v>190</v>
      </c>
      <c r="K553" s="7">
        <f t="shared" si="29"/>
        <v>990</v>
      </c>
      <c r="L553" s="7">
        <f t="shared" si="30"/>
        <v>1140</v>
      </c>
      <c r="M553" s="14">
        <f t="shared" si="28"/>
        <v>1140</v>
      </c>
    </row>
    <row r="554" spans="1:13" x14ac:dyDescent="0.35">
      <c r="A554" s="3" t="s">
        <v>705</v>
      </c>
      <c r="B554" s="11" t="s">
        <v>1826</v>
      </c>
      <c r="C554" s="3" t="s">
        <v>793</v>
      </c>
      <c r="D554" s="4" t="s">
        <v>802</v>
      </c>
      <c r="E554" s="4" t="s">
        <v>803</v>
      </c>
      <c r="F554" s="5">
        <v>0.27500000000000002</v>
      </c>
      <c r="G554" s="10">
        <v>1</v>
      </c>
      <c r="H554" s="7">
        <v>203</v>
      </c>
      <c r="I554" s="7">
        <v>220</v>
      </c>
      <c r="J554" s="7">
        <v>220</v>
      </c>
      <c r="K554" s="7">
        <f t="shared" si="29"/>
        <v>203</v>
      </c>
      <c r="L554" s="7">
        <f t="shared" si="30"/>
        <v>220</v>
      </c>
      <c r="M554" s="14">
        <f t="shared" si="28"/>
        <v>220</v>
      </c>
    </row>
    <row r="555" spans="1:13" x14ac:dyDescent="0.35">
      <c r="A555" s="3" t="s">
        <v>705</v>
      </c>
      <c r="B555" s="11" t="s">
        <v>1826</v>
      </c>
      <c r="C555" s="3" t="s">
        <v>793</v>
      </c>
      <c r="D555" s="4" t="s">
        <v>804</v>
      </c>
      <c r="E555" s="4" t="s">
        <v>805</v>
      </c>
      <c r="F555" s="5">
        <v>0.27500000000000002</v>
      </c>
      <c r="G555" s="10">
        <v>1</v>
      </c>
      <c r="H555" s="7">
        <v>203</v>
      </c>
      <c r="I555" s="7">
        <v>215</v>
      </c>
      <c r="J555" s="7">
        <v>220</v>
      </c>
      <c r="K555" s="7">
        <f t="shared" si="29"/>
        <v>203</v>
      </c>
      <c r="L555" s="7">
        <f t="shared" si="30"/>
        <v>215</v>
      </c>
      <c r="M555" s="14">
        <f t="shared" si="28"/>
        <v>220</v>
      </c>
    </row>
    <row r="556" spans="1:13" x14ac:dyDescent="0.35">
      <c r="A556" s="3" t="s">
        <v>705</v>
      </c>
      <c r="B556" s="11" t="s">
        <v>1826</v>
      </c>
      <c r="C556" s="3" t="s">
        <v>793</v>
      </c>
      <c r="D556" s="4" t="s">
        <v>800</v>
      </c>
      <c r="E556" s="4" t="s">
        <v>801</v>
      </c>
      <c r="F556" s="5">
        <v>0.27500000000000002</v>
      </c>
      <c r="G556" s="10">
        <v>2</v>
      </c>
      <c r="H556" s="7">
        <v>187.5</v>
      </c>
      <c r="I556" s="7">
        <v>210</v>
      </c>
      <c r="J556" s="7">
        <v>220</v>
      </c>
      <c r="K556" s="7">
        <f t="shared" si="29"/>
        <v>375</v>
      </c>
      <c r="L556" s="7">
        <f t="shared" si="30"/>
        <v>420</v>
      </c>
      <c r="M556" s="14">
        <f t="shared" si="28"/>
        <v>440</v>
      </c>
    </row>
    <row r="557" spans="1:13" x14ac:dyDescent="0.35">
      <c r="A557" s="3" t="s">
        <v>705</v>
      </c>
      <c r="B557" s="11" t="s">
        <v>1826</v>
      </c>
      <c r="C557" s="3" t="s">
        <v>793</v>
      </c>
      <c r="D557" s="4" t="s">
        <v>796</v>
      </c>
      <c r="E557" s="4" t="s">
        <v>797</v>
      </c>
      <c r="F557" s="5">
        <v>4.4999999999999998E-2</v>
      </c>
      <c r="G557" s="10">
        <v>3</v>
      </c>
      <c r="H557" s="7">
        <v>46</v>
      </c>
      <c r="I557" s="7">
        <v>50</v>
      </c>
      <c r="J557" s="7">
        <v>50</v>
      </c>
      <c r="K557" s="7">
        <f t="shared" si="29"/>
        <v>138</v>
      </c>
      <c r="L557" s="7">
        <f t="shared" si="30"/>
        <v>150</v>
      </c>
      <c r="M557" s="14">
        <f t="shared" si="28"/>
        <v>150</v>
      </c>
    </row>
    <row r="558" spans="1:13" x14ac:dyDescent="0.35">
      <c r="A558" s="3" t="s">
        <v>705</v>
      </c>
      <c r="B558" s="11" t="s">
        <v>1826</v>
      </c>
      <c r="C558" s="3" t="s">
        <v>793</v>
      </c>
      <c r="D558" s="4" t="s">
        <v>798</v>
      </c>
      <c r="E558" s="4" t="s">
        <v>799</v>
      </c>
      <c r="F558" s="5">
        <v>4.4999999999999998E-2</v>
      </c>
      <c r="G558" s="10">
        <v>3</v>
      </c>
      <c r="H558" s="7">
        <v>46</v>
      </c>
      <c r="I558" s="7">
        <v>50</v>
      </c>
      <c r="J558" s="7">
        <v>50</v>
      </c>
      <c r="K558" s="7">
        <f t="shared" si="29"/>
        <v>138</v>
      </c>
      <c r="L558" s="7">
        <f t="shared" si="30"/>
        <v>150</v>
      </c>
      <c r="M558" s="14">
        <f t="shared" si="28"/>
        <v>150</v>
      </c>
    </row>
    <row r="559" spans="1:13" x14ac:dyDescent="0.35">
      <c r="A559" s="3" t="s">
        <v>705</v>
      </c>
      <c r="B559" s="11" t="s">
        <v>1826</v>
      </c>
      <c r="C559" s="3" t="s">
        <v>793</v>
      </c>
      <c r="D559" s="4" t="s">
        <v>794</v>
      </c>
      <c r="E559" s="4" t="s">
        <v>795</v>
      </c>
      <c r="F559" s="5">
        <v>4.4999999999999998E-2</v>
      </c>
      <c r="G559" s="10">
        <v>11</v>
      </c>
      <c r="H559" s="7">
        <v>46</v>
      </c>
      <c r="I559" s="7">
        <v>50</v>
      </c>
      <c r="J559" s="7">
        <v>50</v>
      </c>
      <c r="K559" s="7">
        <f t="shared" si="29"/>
        <v>506</v>
      </c>
      <c r="L559" s="7">
        <f t="shared" si="30"/>
        <v>550</v>
      </c>
      <c r="M559" s="14">
        <f t="shared" si="28"/>
        <v>550</v>
      </c>
    </row>
    <row r="560" spans="1:13" x14ac:dyDescent="0.35">
      <c r="A560" s="3" t="s">
        <v>1441</v>
      </c>
      <c r="B560" s="3" t="s">
        <v>1826</v>
      </c>
      <c r="C560" s="3" t="s">
        <v>1490</v>
      </c>
      <c r="D560" s="4" t="s">
        <v>1493</v>
      </c>
      <c r="E560" s="4" t="s">
        <v>1494</v>
      </c>
      <c r="F560" s="5">
        <v>0.17499999999999999</v>
      </c>
      <c r="G560" s="6">
        <v>1</v>
      </c>
      <c r="H560" s="7">
        <v>401</v>
      </c>
      <c r="I560" s="7">
        <v>500</v>
      </c>
      <c r="J560" s="7">
        <v>520</v>
      </c>
      <c r="K560" s="7">
        <f t="shared" si="29"/>
        <v>401</v>
      </c>
      <c r="L560" s="7">
        <f t="shared" si="30"/>
        <v>500</v>
      </c>
      <c r="M560" s="14">
        <f t="shared" si="28"/>
        <v>520</v>
      </c>
    </row>
    <row r="561" spans="1:13" x14ac:dyDescent="0.35">
      <c r="A561" s="3" t="s">
        <v>1441</v>
      </c>
      <c r="B561" s="3" t="s">
        <v>1826</v>
      </c>
      <c r="C561" s="3" t="s">
        <v>1490</v>
      </c>
      <c r="D561" s="4" t="s">
        <v>1499</v>
      </c>
      <c r="E561" s="4" t="s">
        <v>1500</v>
      </c>
      <c r="F561" s="5">
        <v>0.36</v>
      </c>
      <c r="G561" s="6">
        <v>1</v>
      </c>
      <c r="H561" s="7">
        <v>782</v>
      </c>
      <c r="I561" s="7">
        <v>850</v>
      </c>
      <c r="J561" s="7">
        <v>870</v>
      </c>
      <c r="K561" s="7">
        <f t="shared" si="29"/>
        <v>782</v>
      </c>
      <c r="L561" s="7">
        <f t="shared" si="30"/>
        <v>850</v>
      </c>
      <c r="M561" s="14">
        <f t="shared" si="28"/>
        <v>870</v>
      </c>
    </row>
    <row r="562" spans="1:13" x14ac:dyDescent="0.35">
      <c r="A562" s="3" t="s">
        <v>1441</v>
      </c>
      <c r="B562" s="3" t="s">
        <v>1826</v>
      </c>
      <c r="C562" s="3" t="s">
        <v>1490</v>
      </c>
      <c r="D562" s="4" t="s">
        <v>1491</v>
      </c>
      <c r="E562" s="4" t="s">
        <v>1492</v>
      </c>
      <c r="F562" s="5">
        <v>1.2E-2</v>
      </c>
      <c r="G562" s="6">
        <v>2</v>
      </c>
      <c r="H562" s="7">
        <v>18.46</v>
      </c>
      <c r="I562" s="7">
        <v>20</v>
      </c>
      <c r="J562" s="7">
        <v>20</v>
      </c>
      <c r="K562" s="7">
        <f t="shared" si="29"/>
        <v>36.92</v>
      </c>
      <c r="L562" s="7">
        <f t="shared" si="30"/>
        <v>40</v>
      </c>
      <c r="M562" s="14">
        <f t="shared" si="28"/>
        <v>40</v>
      </c>
    </row>
    <row r="563" spans="1:13" x14ac:dyDescent="0.35">
      <c r="A563" s="3" t="s">
        <v>1441</v>
      </c>
      <c r="B563" s="3" t="s">
        <v>1826</v>
      </c>
      <c r="C563" s="3" t="s">
        <v>1490</v>
      </c>
      <c r="D563" s="4" t="s">
        <v>1497</v>
      </c>
      <c r="E563" s="4" t="s">
        <v>1498</v>
      </c>
      <c r="F563" s="5">
        <v>0.17499999999999999</v>
      </c>
      <c r="G563" s="6">
        <v>2</v>
      </c>
      <c r="H563" s="7">
        <v>465</v>
      </c>
      <c r="I563" s="7">
        <v>500</v>
      </c>
      <c r="J563" s="7">
        <v>520</v>
      </c>
      <c r="K563" s="7">
        <f t="shared" si="29"/>
        <v>930</v>
      </c>
      <c r="L563" s="7">
        <f t="shared" si="30"/>
        <v>1000</v>
      </c>
      <c r="M563" s="14">
        <f t="shared" si="28"/>
        <v>1040</v>
      </c>
    </row>
    <row r="564" spans="1:13" x14ac:dyDescent="0.35">
      <c r="A564" s="3" t="s">
        <v>1441</v>
      </c>
      <c r="B564" s="3" t="s">
        <v>1826</v>
      </c>
      <c r="C564" s="3" t="s">
        <v>1490</v>
      </c>
      <c r="D564" s="4" t="s">
        <v>1501</v>
      </c>
      <c r="E564" s="4" t="s">
        <v>1502</v>
      </c>
      <c r="F564" s="5">
        <v>0.18</v>
      </c>
      <c r="G564" s="6">
        <v>2</v>
      </c>
      <c r="H564" s="7">
        <v>483</v>
      </c>
      <c r="I564" s="7">
        <v>520</v>
      </c>
      <c r="J564" s="7">
        <v>540</v>
      </c>
      <c r="K564" s="7">
        <f t="shared" si="29"/>
        <v>966</v>
      </c>
      <c r="L564" s="7">
        <f t="shared" si="30"/>
        <v>1040</v>
      </c>
      <c r="M564" s="14">
        <f t="shared" si="28"/>
        <v>1080</v>
      </c>
    </row>
    <row r="565" spans="1:13" x14ac:dyDescent="0.35">
      <c r="A565" s="3" t="s">
        <v>1441</v>
      </c>
      <c r="B565" s="3" t="s">
        <v>1826</v>
      </c>
      <c r="C565" s="3" t="s">
        <v>1490</v>
      </c>
      <c r="D565" s="4" t="s">
        <v>1495</v>
      </c>
      <c r="E565" s="4" t="s">
        <v>1496</v>
      </c>
      <c r="F565" s="5">
        <v>5.0000000000000001E-3</v>
      </c>
      <c r="G565" s="6">
        <v>7</v>
      </c>
      <c r="H565" s="7">
        <v>9.2200000000000006</v>
      </c>
      <c r="I565" s="7">
        <v>10</v>
      </c>
      <c r="J565" s="7">
        <v>10</v>
      </c>
      <c r="K565" s="7">
        <f t="shared" si="29"/>
        <v>64.540000000000006</v>
      </c>
      <c r="L565" s="7">
        <f t="shared" si="30"/>
        <v>70</v>
      </c>
      <c r="M565" s="14">
        <f t="shared" si="28"/>
        <v>70</v>
      </c>
    </row>
    <row r="566" spans="1:13" x14ac:dyDescent="0.35">
      <c r="A566" s="3" t="s">
        <v>938</v>
      </c>
      <c r="B566" s="11" t="s">
        <v>1826</v>
      </c>
      <c r="C566" s="3" t="s">
        <v>1012</v>
      </c>
      <c r="D566" s="4" t="s">
        <v>1015</v>
      </c>
      <c r="E566" s="4" t="s">
        <v>1016</v>
      </c>
      <c r="F566" s="5">
        <v>0.1</v>
      </c>
      <c r="G566" s="6">
        <v>1</v>
      </c>
      <c r="H566" s="7">
        <v>351</v>
      </c>
      <c r="I566" s="7">
        <v>460</v>
      </c>
      <c r="J566" s="7">
        <v>470</v>
      </c>
      <c r="K566" s="7">
        <f t="shared" si="29"/>
        <v>351</v>
      </c>
      <c r="L566" s="7">
        <f t="shared" si="30"/>
        <v>460</v>
      </c>
      <c r="M566" s="14">
        <f t="shared" si="28"/>
        <v>470</v>
      </c>
    </row>
    <row r="567" spans="1:13" x14ac:dyDescent="0.35">
      <c r="A567" s="3" t="s">
        <v>938</v>
      </c>
      <c r="B567" s="11" t="s">
        <v>1826</v>
      </c>
      <c r="C567" s="3" t="s">
        <v>1012</v>
      </c>
      <c r="D567" s="4" t="s">
        <v>1017</v>
      </c>
      <c r="E567" s="4" t="s">
        <v>1018</v>
      </c>
      <c r="F567" s="5">
        <v>0.08</v>
      </c>
      <c r="G567" s="6">
        <v>1</v>
      </c>
      <c r="H567" s="7">
        <v>342.5</v>
      </c>
      <c r="I567" s="7">
        <v>370</v>
      </c>
      <c r="J567" s="7">
        <v>380</v>
      </c>
      <c r="K567" s="7">
        <f t="shared" si="29"/>
        <v>342.5</v>
      </c>
      <c r="L567" s="7">
        <f t="shared" si="30"/>
        <v>370</v>
      </c>
      <c r="M567" s="14">
        <f t="shared" si="28"/>
        <v>380</v>
      </c>
    </row>
    <row r="568" spans="1:13" x14ac:dyDescent="0.35">
      <c r="A568" s="3" t="s">
        <v>938</v>
      </c>
      <c r="B568" s="11" t="s">
        <v>1826</v>
      </c>
      <c r="C568" s="3" t="s">
        <v>1012</v>
      </c>
      <c r="D568" s="4" t="s">
        <v>1013</v>
      </c>
      <c r="E568" s="4" t="s">
        <v>1014</v>
      </c>
      <c r="F568" s="5">
        <v>6.2E-2</v>
      </c>
      <c r="G568" s="6">
        <v>2</v>
      </c>
      <c r="H568" s="7">
        <v>323</v>
      </c>
      <c r="I568" s="7">
        <v>380</v>
      </c>
      <c r="J568" s="7">
        <v>400</v>
      </c>
      <c r="K568" s="7">
        <f t="shared" si="29"/>
        <v>646</v>
      </c>
      <c r="L568" s="7">
        <f t="shared" si="30"/>
        <v>760</v>
      </c>
      <c r="M568" s="14">
        <f t="shared" si="28"/>
        <v>800</v>
      </c>
    </row>
    <row r="569" spans="1:13" x14ac:dyDescent="0.35">
      <c r="A569" s="3" t="s">
        <v>938</v>
      </c>
      <c r="B569" s="11" t="s">
        <v>1826</v>
      </c>
      <c r="C569" s="3" t="s">
        <v>1012</v>
      </c>
      <c r="D569" s="4" t="s">
        <v>1019</v>
      </c>
      <c r="E569" s="4" t="s">
        <v>1020</v>
      </c>
      <c r="F569" s="5">
        <v>2.5000000000000001E-2</v>
      </c>
      <c r="G569" s="6">
        <v>3</v>
      </c>
      <c r="H569" s="7">
        <v>138</v>
      </c>
      <c r="I569" s="7">
        <v>165</v>
      </c>
      <c r="J569" s="7">
        <v>170</v>
      </c>
      <c r="K569" s="7">
        <f t="shared" si="29"/>
        <v>414</v>
      </c>
      <c r="L569" s="7">
        <f t="shared" si="30"/>
        <v>495</v>
      </c>
      <c r="M569" s="14">
        <f t="shared" si="28"/>
        <v>510</v>
      </c>
    </row>
    <row r="570" spans="1:13" x14ac:dyDescent="0.35">
      <c r="A570" s="3" t="s">
        <v>705</v>
      </c>
      <c r="B570" s="11" t="s">
        <v>1826</v>
      </c>
      <c r="C570" s="3" t="s">
        <v>808</v>
      </c>
      <c r="D570" s="4" t="s">
        <v>809</v>
      </c>
      <c r="E570" s="4" t="s">
        <v>810</v>
      </c>
      <c r="F570" s="5">
        <v>0.27500000000000002</v>
      </c>
      <c r="G570" s="10">
        <v>2</v>
      </c>
      <c r="H570" s="7">
        <v>195</v>
      </c>
      <c r="I570" s="7">
        <v>220</v>
      </c>
      <c r="J570" s="7">
        <v>220</v>
      </c>
      <c r="K570" s="7">
        <f t="shared" si="29"/>
        <v>390</v>
      </c>
      <c r="L570" s="7">
        <f t="shared" si="30"/>
        <v>440</v>
      </c>
      <c r="M570" s="14">
        <f t="shared" si="28"/>
        <v>440</v>
      </c>
    </row>
    <row r="571" spans="1:13" x14ac:dyDescent="0.35">
      <c r="A571" s="3" t="s">
        <v>705</v>
      </c>
      <c r="B571" s="11" t="s">
        <v>1826</v>
      </c>
      <c r="C571" s="3" t="s">
        <v>811</v>
      </c>
      <c r="D571" s="4" t="s">
        <v>812</v>
      </c>
      <c r="E571" s="4" t="s">
        <v>813</v>
      </c>
      <c r="F571" s="5">
        <v>0.08</v>
      </c>
      <c r="G571" s="10">
        <v>1</v>
      </c>
      <c r="H571" s="7">
        <v>166</v>
      </c>
      <c r="I571" s="7">
        <v>190</v>
      </c>
      <c r="J571" s="7">
        <v>190</v>
      </c>
      <c r="K571" s="7">
        <f t="shared" si="29"/>
        <v>166</v>
      </c>
      <c r="L571" s="7">
        <f t="shared" si="30"/>
        <v>190</v>
      </c>
      <c r="M571" s="14">
        <f t="shared" si="28"/>
        <v>190</v>
      </c>
    </row>
    <row r="572" spans="1:13" x14ac:dyDescent="0.35">
      <c r="A572" s="3" t="s">
        <v>705</v>
      </c>
      <c r="B572" s="11" t="s">
        <v>1826</v>
      </c>
      <c r="C572" s="3" t="s">
        <v>811</v>
      </c>
      <c r="D572" s="4" t="s">
        <v>814</v>
      </c>
      <c r="E572" s="4" t="s">
        <v>815</v>
      </c>
      <c r="F572" s="5">
        <v>0.08</v>
      </c>
      <c r="G572" s="10">
        <v>3</v>
      </c>
      <c r="H572" s="7">
        <v>166.33</v>
      </c>
      <c r="I572" s="7">
        <v>190</v>
      </c>
      <c r="J572" s="7">
        <v>190</v>
      </c>
      <c r="K572" s="7">
        <f t="shared" si="29"/>
        <v>498.99</v>
      </c>
      <c r="L572" s="7">
        <f t="shared" si="30"/>
        <v>570</v>
      </c>
      <c r="M572" s="14">
        <f t="shared" si="28"/>
        <v>570</v>
      </c>
    </row>
    <row r="573" spans="1:13" x14ac:dyDescent="0.35">
      <c r="A573" s="3" t="s">
        <v>705</v>
      </c>
      <c r="B573" s="11" t="s">
        <v>1826</v>
      </c>
      <c r="C573" s="3" t="s">
        <v>777</v>
      </c>
      <c r="D573" s="4" t="s">
        <v>778</v>
      </c>
      <c r="E573" s="4" t="s">
        <v>779</v>
      </c>
      <c r="F573" s="5">
        <v>0.4</v>
      </c>
      <c r="G573" s="10">
        <v>1</v>
      </c>
      <c r="H573" s="7">
        <v>222</v>
      </c>
      <c r="I573" s="7">
        <v>250</v>
      </c>
      <c r="J573" s="7">
        <v>250</v>
      </c>
      <c r="K573" s="7">
        <f t="shared" si="29"/>
        <v>222</v>
      </c>
      <c r="L573" s="7">
        <f t="shared" si="30"/>
        <v>250</v>
      </c>
      <c r="M573" s="14">
        <f t="shared" si="28"/>
        <v>250</v>
      </c>
    </row>
    <row r="574" spans="1:13" x14ac:dyDescent="0.35">
      <c r="A574" s="3" t="s">
        <v>705</v>
      </c>
      <c r="B574" s="11" t="s">
        <v>1826</v>
      </c>
      <c r="C574" s="3" t="s">
        <v>777</v>
      </c>
      <c r="D574" s="4" t="s">
        <v>780</v>
      </c>
      <c r="E574" s="4" t="s">
        <v>781</v>
      </c>
      <c r="F574" s="5">
        <v>0.4</v>
      </c>
      <c r="G574" s="10">
        <v>1</v>
      </c>
      <c r="H574" s="7">
        <v>226.5</v>
      </c>
      <c r="I574" s="7">
        <v>250</v>
      </c>
      <c r="J574" s="7">
        <v>250</v>
      </c>
      <c r="K574" s="7">
        <f t="shared" si="29"/>
        <v>226.5</v>
      </c>
      <c r="L574" s="7">
        <f t="shared" si="30"/>
        <v>250</v>
      </c>
      <c r="M574" s="14">
        <f t="shared" si="28"/>
        <v>250</v>
      </c>
    </row>
    <row r="575" spans="1:13" x14ac:dyDescent="0.35">
      <c r="A575" s="3" t="s">
        <v>705</v>
      </c>
      <c r="B575" s="11" t="s">
        <v>1826</v>
      </c>
      <c r="C575" s="3" t="s">
        <v>777</v>
      </c>
      <c r="D575" s="4" t="s">
        <v>783</v>
      </c>
      <c r="E575" s="4" t="s">
        <v>782</v>
      </c>
      <c r="F575" s="5">
        <v>0.19</v>
      </c>
      <c r="G575" s="10">
        <v>4</v>
      </c>
      <c r="H575" s="7">
        <v>108.67</v>
      </c>
      <c r="I575" s="7">
        <v>125</v>
      </c>
      <c r="J575" s="7">
        <v>130</v>
      </c>
      <c r="K575" s="7">
        <f t="shared" si="29"/>
        <v>434.68</v>
      </c>
      <c r="L575" s="7">
        <f t="shared" si="30"/>
        <v>500</v>
      </c>
      <c r="M575" s="14">
        <f t="shared" si="28"/>
        <v>520</v>
      </c>
    </row>
    <row r="576" spans="1:13" x14ac:dyDescent="0.35">
      <c r="A576" s="3" t="s">
        <v>705</v>
      </c>
      <c r="B576" s="11" t="s">
        <v>1826</v>
      </c>
      <c r="C576" s="3" t="s">
        <v>918</v>
      </c>
      <c r="D576" s="4" t="s">
        <v>923</v>
      </c>
      <c r="E576" s="4" t="s">
        <v>924</v>
      </c>
      <c r="F576" s="5">
        <v>1.7999999999999999E-2</v>
      </c>
      <c r="G576" s="6">
        <v>5</v>
      </c>
      <c r="H576" s="7">
        <v>26.75</v>
      </c>
      <c r="I576" s="7">
        <v>30</v>
      </c>
      <c r="J576" s="7">
        <v>30</v>
      </c>
      <c r="K576" s="7">
        <f t="shared" si="29"/>
        <v>133.75</v>
      </c>
      <c r="L576" s="7">
        <f t="shared" si="30"/>
        <v>150</v>
      </c>
      <c r="M576" s="14">
        <f t="shared" si="28"/>
        <v>150</v>
      </c>
    </row>
    <row r="577" spans="1:13" x14ac:dyDescent="0.35">
      <c r="A577" s="3" t="s">
        <v>1441</v>
      </c>
      <c r="B577" s="3" t="s">
        <v>1463</v>
      </c>
      <c r="C577" s="3" t="s">
        <v>1463</v>
      </c>
      <c r="D577" s="4" t="s">
        <v>1464</v>
      </c>
      <c r="E577" s="4" t="s">
        <v>1465</v>
      </c>
      <c r="F577" s="5">
        <v>0</v>
      </c>
      <c r="G577" s="6">
        <v>1</v>
      </c>
      <c r="H577" s="7">
        <v>515</v>
      </c>
      <c r="I577" s="7">
        <v>600</v>
      </c>
      <c r="J577" s="7">
        <v>700</v>
      </c>
      <c r="K577" s="7">
        <f t="shared" si="29"/>
        <v>515</v>
      </c>
      <c r="L577" s="7">
        <f t="shared" si="30"/>
        <v>600</v>
      </c>
      <c r="M577" s="14">
        <f t="shared" si="28"/>
        <v>700</v>
      </c>
    </row>
    <row r="578" spans="1:13" x14ac:dyDescent="0.35">
      <c r="A578" s="3" t="s">
        <v>1441</v>
      </c>
      <c r="B578" s="3" t="s">
        <v>1463</v>
      </c>
      <c r="C578" s="3" t="s">
        <v>1463</v>
      </c>
      <c r="D578" s="4" t="s">
        <v>1466</v>
      </c>
      <c r="E578" s="4" t="s">
        <v>1467</v>
      </c>
      <c r="F578" s="5">
        <v>0</v>
      </c>
      <c r="G578" s="6">
        <v>2</v>
      </c>
      <c r="H578" s="7">
        <v>515</v>
      </c>
      <c r="I578" s="7">
        <v>600</v>
      </c>
      <c r="J578" s="7">
        <v>700</v>
      </c>
      <c r="K578" s="7">
        <f t="shared" si="29"/>
        <v>1030</v>
      </c>
      <c r="L578" s="7">
        <f t="shared" si="30"/>
        <v>1200</v>
      </c>
      <c r="M578" s="14">
        <f t="shared" si="28"/>
        <v>1400</v>
      </c>
    </row>
    <row r="579" spans="1:13" x14ac:dyDescent="0.35">
      <c r="A579" s="3" t="s">
        <v>1441</v>
      </c>
      <c r="B579" s="3" t="s">
        <v>1463</v>
      </c>
      <c r="C579" s="3" t="s">
        <v>1463</v>
      </c>
      <c r="D579" s="4" t="s">
        <v>1468</v>
      </c>
      <c r="E579" s="4" t="s">
        <v>1469</v>
      </c>
      <c r="F579" s="5">
        <v>0</v>
      </c>
      <c r="G579" s="6">
        <v>2</v>
      </c>
      <c r="H579" s="7">
        <v>515</v>
      </c>
      <c r="I579" s="7">
        <v>600</v>
      </c>
      <c r="J579" s="7">
        <v>700</v>
      </c>
      <c r="K579" s="7">
        <f t="shared" si="29"/>
        <v>1030</v>
      </c>
      <c r="L579" s="7">
        <f t="shared" si="30"/>
        <v>1200</v>
      </c>
      <c r="M579" s="14">
        <f t="shared" si="28"/>
        <v>1400</v>
      </c>
    </row>
    <row r="580" spans="1:13" x14ac:dyDescent="0.35">
      <c r="A580" s="3" t="s">
        <v>1441</v>
      </c>
      <c r="B580" s="3" t="s">
        <v>1463</v>
      </c>
      <c r="C580" s="3" t="s">
        <v>1463</v>
      </c>
      <c r="D580" s="4" t="s">
        <v>1470</v>
      </c>
      <c r="E580" s="4" t="s">
        <v>1471</v>
      </c>
      <c r="F580" s="5">
        <v>0</v>
      </c>
      <c r="G580" s="6">
        <v>1</v>
      </c>
      <c r="H580" s="7">
        <v>515</v>
      </c>
      <c r="I580" s="7">
        <v>600</v>
      </c>
      <c r="J580" s="7">
        <v>700</v>
      </c>
      <c r="K580" s="7">
        <f t="shared" si="29"/>
        <v>515</v>
      </c>
      <c r="L580" s="7">
        <f t="shared" si="30"/>
        <v>600</v>
      </c>
      <c r="M580" s="14">
        <f t="shared" si="28"/>
        <v>700</v>
      </c>
    </row>
    <row r="581" spans="1:13" x14ac:dyDescent="0.35">
      <c r="A581" s="3" t="s">
        <v>1441</v>
      </c>
      <c r="B581" s="3" t="s">
        <v>1463</v>
      </c>
      <c r="C581" s="3" t="s">
        <v>1463</v>
      </c>
      <c r="D581" s="4" t="s">
        <v>1472</v>
      </c>
      <c r="E581" s="4" t="s">
        <v>1473</v>
      </c>
      <c r="F581" s="5">
        <v>0</v>
      </c>
      <c r="G581" s="6">
        <v>1</v>
      </c>
      <c r="H581" s="7">
        <v>515</v>
      </c>
      <c r="I581" s="7">
        <v>600</v>
      </c>
      <c r="J581" s="7">
        <v>700</v>
      </c>
      <c r="K581" s="7">
        <f t="shared" si="29"/>
        <v>515</v>
      </c>
      <c r="L581" s="7">
        <f t="shared" si="30"/>
        <v>600</v>
      </c>
      <c r="M581" s="14">
        <f t="shared" si="28"/>
        <v>700</v>
      </c>
    </row>
    <row r="582" spans="1:13" x14ac:dyDescent="0.35">
      <c r="A582" s="3" t="s">
        <v>1441</v>
      </c>
      <c r="B582" s="3" t="s">
        <v>1463</v>
      </c>
      <c r="C582" s="3" t="s">
        <v>1463</v>
      </c>
      <c r="D582" s="4" t="s">
        <v>1474</v>
      </c>
      <c r="E582" s="4" t="s">
        <v>1475</v>
      </c>
      <c r="F582" s="5">
        <v>0</v>
      </c>
      <c r="G582" s="6">
        <v>2</v>
      </c>
      <c r="H582" s="7">
        <v>515</v>
      </c>
      <c r="I582" s="7">
        <v>600</v>
      </c>
      <c r="J582" s="7">
        <v>700</v>
      </c>
      <c r="K582" s="7">
        <f t="shared" si="29"/>
        <v>1030</v>
      </c>
      <c r="L582" s="7">
        <f t="shared" si="30"/>
        <v>1200</v>
      </c>
      <c r="M582" s="14">
        <f t="shared" si="28"/>
        <v>1400</v>
      </c>
    </row>
    <row r="583" spans="1:13" x14ac:dyDescent="0.35">
      <c r="A583" s="3" t="s">
        <v>1441</v>
      </c>
      <c r="B583" s="3" t="s">
        <v>1463</v>
      </c>
      <c r="C583" s="3" t="s">
        <v>1463</v>
      </c>
      <c r="D583" s="4" t="s">
        <v>1476</v>
      </c>
      <c r="E583" s="4" t="s">
        <v>1477</v>
      </c>
      <c r="F583" s="5">
        <v>0</v>
      </c>
      <c r="G583" s="6">
        <v>35</v>
      </c>
      <c r="H583" s="7">
        <v>30</v>
      </c>
      <c r="I583" s="7">
        <v>50</v>
      </c>
      <c r="J583" s="7">
        <v>50</v>
      </c>
      <c r="K583" s="7">
        <f t="shared" si="29"/>
        <v>1050</v>
      </c>
      <c r="L583" s="7">
        <f t="shared" si="30"/>
        <v>1750</v>
      </c>
      <c r="M583" s="14">
        <f t="shared" si="28"/>
        <v>1750</v>
      </c>
    </row>
    <row r="584" spans="1:13" x14ac:dyDescent="0.35">
      <c r="A584" s="3" t="s">
        <v>1441</v>
      </c>
      <c r="B584" s="3" t="s">
        <v>1463</v>
      </c>
      <c r="C584" s="3" t="s">
        <v>1463</v>
      </c>
      <c r="D584" s="4" t="s">
        <v>1478</v>
      </c>
      <c r="E584" s="4" t="s">
        <v>1479</v>
      </c>
      <c r="F584" s="5">
        <v>0</v>
      </c>
      <c r="G584" s="6">
        <v>11</v>
      </c>
      <c r="H584" s="7">
        <v>15</v>
      </c>
      <c r="I584" s="7">
        <v>30</v>
      </c>
      <c r="J584" s="7">
        <v>30</v>
      </c>
      <c r="K584" s="7">
        <f t="shared" si="29"/>
        <v>165</v>
      </c>
      <c r="L584" s="7">
        <f t="shared" si="30"/>
        <v>330</v>
      </c>
      <c r="M584" s="14">
        <f t="shared" si="28"/>
        <v>330</v>
      </c>
    </row>
    <row r="585" spans="1:13" x14ac:dyDescent="0.35">
      <c r="A585" s="3" t="s">
        <v>1441</v>
      </c>
      <c r="B585" s="3" t="s">
        <v>1463</v>
      </c>
      <c r="C585" s="3" t="s">
        <v>1463</v>
      </c>
      <c r="D585" s="4" t="s">
        <v>1480</v>
      </c>
      <c r="E585" s="4" t="s">
        <v>1481</v>
      </c>
      <c r="F585" s="5">
        <v>0</v>
      </c>
      <c r="G585" s="6">
        <v>11</v>
      </c>
      <c r="H585" s="7">
        <v>77</v>
      </c>
      <c r="I585" s="7">
        <v>100</v>
      </c>
      <c r="J585" s="7">
        <v>100</v>
      </c>
      <c r="K585" s="7">
        <f t="shared" si="29"/>
        <v>847</v>
      </c>
      <c r="L585" s="7">
        <f t="shared" si="30"/>
        <v>1100</v>
      </c>
      <c r="M585" s="14">
        <f t="shared" si="28"/>
        <v>1100</v>
      </c>
    </row>
    <row r="586" spans="1:13" x14ac:dyDescent="0.35">
      <c r="A586" s="3" t="s">
        <v>1441</v>
      </c>
      <c r="B586" s="3" t="s">
        <v>12</v>
      </c>
      <c r="C586" s="3" t="s">
        <v>14</v>
      </c>
      <c r="D586" s="4" t="s">
        <v>379</v>
      </c>
      <c r="E586" s="4" t="s">
        <v>1482</v>
      </c>
      <c r="F586" s="5">
        <v>0.5</v>
      </c>
      <c r="G586" s="6">
        <v>5</v>
      </c>
      <c r="H586" s="7">
        <v>123</v>
      </c>
      <c r="I586" s="7">
        <v>120</v>
      </c>
      <c r="J586" s="7">
        <v>160</v>
      </c>
      <c r="K586" s="7">
        <f t="shared" si="29"/>
        <v>615</v>
      </c>
      <c r="L586" s="7">
        <f t="shared" si="30"/>
        <v>600</v>
      </c>
      <c r="M586" s="14">
        <f t="shared" si="28"/>
        <v>800</v>
      </c>
    </row>
    <row r="587" spans="1:13" x14ac:dyDescent="0.35">
      <c r="A587" s="3" t="s">
        <v>1441</v>
      </c>
      <c r="B587" s="3" t="s">
        <v>12</v>
      </c>
      <c r="C587" s="3" t="s">
        <v>14</v>
      </c>
      <c r="D587" s="4" t="s">
        <v>383</v>
      </c>
      <c r="E587" s="4" t="s">
        <v>91</v>
      </c>
      <c r="F587" s="5">
        <v>0.5</v>
      </c>
      <c r="G587" s="6">
        <v>2</v>
      </c>
      <c r="H587" s="7">
        <v>362.5</v>
      </c>
      <c r="I587" s="7">
        <v>400</v>
      </c>
      <c r="J587" s="7">
        <v>400</v>
      </c>
      <c r="K587" s="7">
        <f t="shared" si="29"/>
        <v>725</v>
      </c>
      <c r="L587" s="7">
        <f t="shared" si="30"/>
        <v>800</v>
      </c>
      <c r="M587" s="14">
        <f t="shared" si="28"/>
        <v>800</v>
      </c>
    </row>
    <row r="588" spans="1:13" x14ac:dyDescent="0.35">
      <c r="A588" s="3" t="s">
        <v>1441</v>
      </c>
      <c r="B588" s="3" t="s">
        <v>1848</v>
      </c>
      <c r="C588" s="3" t="s">
        <v>1848</v>
      </c>
      <c r="D588" s="4" t="s">
        <v>1483</v>
      </c>
      <c r="E588" s="4" t="s">
        <v>1484</v>
      </c>
      <c r="F588" s="5">
        <v>0</v>
      </c>
      <c r="G588" s="6">
        <v>20</v>
      </c>
      <c r="H588" s="7">
        <v>61</v>
      </c>
      <c r="I588" s="7">
        <v>80</v>
      </c>
      <c r="J588" s="7">
        <v>80</v>
      </c>
      <c r="K588" s="7">
        <f t="shared" si="29"/>
        <v>1220</v>
      </c>
      <c r="L588" s="7">
        <f t="shared" si="30"/>
        <v>1600</v>
      </c>
      <c r="M588" s="14">
        <f t="shared" ref="M588:M651" si="31">J588*G588</f>
        <v>1600</v>
      </c>
    </row>
    <row r="589" spans="1:13" ht="15" customHeight="1" x14ac:dyDescent="0.35">
      <c r="A589" s="3" t="s">
        <v>1441</v>
      </c>
      <c r="B589" s="3" t="s">
        <v>1411</v>
      </c>
      <c r="C589" s="3" t="s">
        <v>1485</v>
      </c>
      <c r="D589" s="4" t="s">
        <v>1486</v>
      </c>
      <c r="E589" s="4" t="s">
        <v>1487</v>
      </c>
      <c r="F589" s="5">
        <v>0</v>
      </c>
      <c r="G589" s="6">
        <v>0</v>
      </c>
      <c r="H589" s="7">
        <v>22.5</v>
      </c>
      <c r="I589" s="7">
        <v>30</v>
      </c>
      <c r="J589" s="7">
        <v>30</v>
      </c>
      <c r="K589" s="7">
        <f t="shared" si="29"/>
        <v>0</v>
      </c>
      <c r="L589" s="7">
        <f t="shared" si="30"/>
        <v>0</v>
      </c>
      <c r="M589" s="14">
        <f t="shared" si="31"/>
        <v>0</v>
      </c>
    </row>
    <row r="590" spans="1:13" x14ac:dyDescent="0.35">
      <c r="A590" s="3" t="s">
        <v>1441</v>
      </c>
      <c r="B590" s="3" t="s">
        <v>1411</v>
      </c>
      <c r="C590" s="3" t="s">
        <v>1485</v>
      </c>
      <c r="D590" s="4" t="s">
        <v>1488</v>
      </c>
      <c r="E590" s="4" t="s">
        <v>1489</v>
      </c>
      <c r="F590" s="5">
        <v>0</v>
      </c>
      <c r="G590" s="6">
        <v>0</v>
      </c>
      <c r="H590" s="7">
        <v>37.5</v>
      </c>
      <c r="I590" s="7">
        <v>50</v>
      </c>
      <c r="J590" s="7">
        <v>50</v>
      </c>
      <c r="K590" s="7">
        <f t="shared" si="29"/>
        <v>0</v>
      </c>
      <c r="L590" s="7">
        <f t="shared" si="30"/>
        <v>0</v>
      </c>
      <c r="M590" s="14">
        <f t="shared" si="31"/>
        <v>0</v>
      </c>
    </row>
    <row r="591" spans="1:13" x14ac:dyDescent="0.35">
      <c r="A591" s="3" t="s">
        <v>705</v>
      </c>
      <c r="B591" s="11" t="s">
        <v>1826</v>
      </c>
      <c r="C591" s="3" t="s">
        <v>918</v>
      </c>
      <c r="D591" s="4" t="s">
        <v>919</v>
      </c>
      <c r="E591" s="4" t="s">
        <v>920</v>
      </c>
      <c r="F591" s="5">
        <v>1.7999999999999999E-2</v>
      </c>
      <c r="G591" s="6">
        <v>8</v>
      </c>
      <c r="H591" s="7">
        <v>69.319999999999993</v>
      </c>
      <c r="I591" s="7">
        <v>75</v>
      </c>
      <c r="J591" s="7">
        <v>75</v>
      </c>
      <c r="K591" s="7">
        <f t="shared" si="29"/>
        <v>554.55999999999995</v>
      </c>
      <c r="L591" s="7">
        <f t="shared" si="30"/>
        <v>600</v>
      </c>
      <c r="M591" s="14">
        <f t="shared" si="31"/>
        <v>600</v>
      </c>
    </row>
    <row r="592" spans="1:13" x14ac:dyDescent="0.35">
      <c r="A592" s="3" t="s">
        <v>705</v>
      </c>
      <c r="B592" s="11" t="s">
        <v>1826</v>
      </c>
      <c r="C592" s="3" t="s">
        <v>918</v>
      </c>
      <c r="D592" s="4" t="s">
        <v>921</v>
      </c>
      <c r="E592" s="4" t="s">
        <v>922</v>
      </c>
      <c r="F592" s="5">
        <v>1.7999999999999999E-2</v>
      </c>
      <c r="G592" s="6">
        <v>13</v>
      </c>
      <c r="H592" s="7">
        <v>69</v>
      </c>
      <c r="I592" s="7">
        <v>75</v>
      </c>
      <c r="J592" s="7">
        <v>75</v>
      </c>
      <c r="K592" s="7">
        <f t="shared" si="29"/>
        <v>897</v>
      </c>
      <c r="L592" s="7">
        <f t="shared" si="30"/>
        <v>975</v>
      </c>
      <c r="M592" s="14">
        <f t="shared" si="31"/>
        <v>975</v>
      </c>
    </row>
    <row r="593" spans="1:13" x14ac:dyDescent="0.35">
      <c r="A593" s="3" t="s">
        <v>1611</v>
      </c>
      <c r="B593" s="11" t="s">
        <v>1826</v>
      </c>
      <c r="C593" s="3" t="s">
        <v>1615</v>
      </c>
      <c r="D593" s="4" t="s">
        <v>1628</v>
      </c>
      <c r="E593" s="4" t="s">
        <v>1629</v>
      </c>
      <c r="F593" s="5">
        <v>0.46</v>
      </c>
      <c r="G593" s="6">
        <v>2</v>
      </c>
      <c r="H593" s="7">
        <v>139.19</v>
      </c>
      <c r="I593" s="7">
        <v>150</v>
      </c>
      <c r="J593" s="7">
        <v>150</v>
      </c>
      <c r="K593" s="7">
        <f t="shared" si="29"/>
        <v>278.38</v>
      </c>
      <c r="L593" s="7">
        <f t="shared" si="30"/>
        <v>300</v>
      </c>
      <c r="M593" s="14">
        <f t="shared" si="31"/>
        <v>300</v>
      </c>
    </row>
    <row r="594" spans="1:13" x14ac:dyDescent="0.35">
      <c r="A594" s="3" t="s">
        <v>1611</v>
      </c>
      <c r="B594" s="11" t="s">
        <v>1826</v>
      </c>
      <c r="C594" s="3" t="s">
        <v>1615</v>
      </c>
      <c r="D594" s="4" t="s">
        <v>1626</v>
      </c>
      <c r="E594" s="4" t="s">
        <v>1627</v>
      </c>
      <c r="F594" s="5">
        <v>0.23</v>
      </c>
      <c r="G594" s="6">
        <v>4</v>
      </c>
      <c r="H594" s="7">
        <v>69.599999999999994</v>
      </c>
      <c r="I594" s="7">
        <v>75</v>
      </c>
      <c r="J594" s="7">
        <v>75</v>
      </c>
      <c r="K594" s="7">
        <f t="shared" si="29"/>
        <v>278.39999999999998</v>
      </c>
      <c r="L594" s="7">
        <f t="shared" si="30"/>
        <v>300</v>
      </c>
      <c r="M594" s="14">
        <f t="shared" si="31"/>
        <v>300</v>
      </c>
    </row>
    <row r="595" spans="1:13" x14ac:dyDescent="0.35">
      <c r="A595" s="3" t="s">
        <v>1441</v>
      </c>
      <c r="B595" s="3" t="s">
        <v>1826</v>
      </c>
      <c r="C595" s="3" t="s">
        <v>1443</v>
      </c>
      <c r="D595" s="4" t="s">
        <v>1457</v>
      </c>
      <c r="E595" s="4" t="s">
        <v>1458</v>
      </c>
      <c r="F595" s="5">
        <v>0.65</v>
      </c>
      <c r="G595" s="6">
        <v>1</v>
      </c>
      <c r="H595" s="7">
        <v>1033</v>
      </c>
      <c r="I595" s="7">
        <v>1120</v>
      </c>
      <c r="J595" s="7">
        <v>1150</v>
      </c>
      <c r="K595" s="7">
        <f t="shared" si="29"/>
        <v>1033</v>
      </c>
      <c r="L595" s="7">
        <f t="shared" si="30"/>
        <v>1120</v>
      </c>
      <c r="M595" s="14">
        <f t="shared" si="31"/>
        <v>1150</v>
      </c>
    </row>
    <row r="596" spans="1:13" x14ac:dyDescent="0.35">
      <c r="A596" s="3" t="s">
        <v>1441</v>
      </c>
      <c r="B596" s="3" t="s">
        <v>1826</v>
      </c>
      <c r="C596" s="3" t="s">
        <v>1443</v>
      </c>
      <c r="D596" s="4" t="s">
        <v>1459</v>
      </c>
      <c r="E596" s="4" t="s">
        <v>1460</v>
      </c>
      <c r="F596" s="5">
        <v>0.17499999999999999</v>
      </c>
      <c r="G596" s="6">
        <v>1</v>
      </c>
      <c r="H596" s="7">
        <v>315.81</v>
      </c>
      <c r="I596" s="7">
        <v>360</v>
      </c>
      <c r="J596" s="7">
        <v>370</v>
      </c>
      <c r="K596" s="7">
        <f t="shared" si="29"/>
        <v>315.81</v>
      </c>
      <c r="L596" s="7">
        <f t="shared" si="30"/>
        <v>360</v>
      </c>
      <c r="M596" s="14">
        <f t="shared" si="31"/>
        <v>370</v>
      </c>
    </row>
    <row r="597" spans="1:13" x14ac:dyDescent="0.35">
      <c r="A597" s="3" t="s">
        <v>1441</v>
      </c>
      <c r="B597" s="3" t="s">
        <v>1826</v>
      </c>
      <c r="C597" s="3" t="s">
        <v>1443</v>
      </c>
      <c r="D597" s="4" t="s">
        <v>1461</v>
      </c>
      <c r="E597" s="4" t="s">
        <v>1462</v>
      </c>
      <c r="F597" s="5">
        <v>0.36</v>
      </c>
      <c r="G597" s="6">
        <v>1</v>
      </c>
      <c r="H597" s="7">
        <v>529</v>
      </c>
      <c r="I597" s="7">
        <v>600</v>
      </c>
      <c r="J597" s="7">
        <v>620</v>
      </c>
      <c r="K597" s="7">
        <f t="shared" ref="K597:K660" si="32">H597*G597</f>
        <v>529</v>
      </c>
      <c r="L597" s="7">
        <f t="shared" ref="L597:L660" si="33">I597*G597</f>
        <v>600</v>
      </c>
      <c r="M597" s="14">
        <f t="shared" si="31"/>
        <v>620</v>
      </c>
    </row>
    <row r="598" spans="1:13" x14ac:dyDescent="0.35">
      <c r="A598" s="3" t="s">
        <v>1441</v>
      </c>
      <c r="B598" s="3" t="s">
        <v>1826</v>
      </c>
      <c r="C598" s="3" t="s">
        <v>1443</v>
      </c>
      <c r="D598" s="4" t="s">
        <v>1452</v>
      </c>
      <c r="E598" s="4" t="s">
        <v>1453</v>
      </c>
      <c r="F598" s="5">
        <v>0.37</v>
      </c>
      <c r="G598" s="6">
        <v>2</v>
      </c>
      <c r="H598" s="7">
        <v>550</v>
      </c>
      <c r="I598" s="7">
        <v>650</v>
      </c>
      <c r="J598" s="7">
        <v>670</v>
      </c>
      <c r="K598" s="7">
        <f t="shared" si="32"/>
        <v>1100</v>
      </c>
      <c r="L598" s="7">
        <f t="shared" si="33"/>
        <v>1300</v>
      </c>
      <c r="M598" s="14">
        <f t="shared" si="31"/>
        <v>1340</v>
      </c>
    </row>
    <row r="599" spans="1:13" x14ac:dyDescent="0.35">
      <c r="A599" s="3" t="s">
        <v>1441</v>
      </c>
      <c r="B599" s="3" t="s">
        <v>1826</v>
      </c>
      <c r="C599" s="3" t="s">
        <v>1443</v>
      </c>
      <c r="D599" s="4" t="s">
        <v>1449</v>
      </c>
      <c r="E599" s="4" t="s">
        <v>1444</v>
      </c>
      <c r="F599" s="5">
        <v>0.17499999999999999</v>
      </c>
      <c r="G599" s="6">
        <v>4</v>
      </c>
      <c r="H599" s="7">
        <v>276.5</v>
      </c>
      <c r="I599" s="7">
        <v>320</v>
      </c>
      <c r="J599" s="7">
        <v>370</v>
      </c>
      <c r="K599" s="7">
        <f t="shared" si="32"/>
        <v>1106</v>
      </c>
      <c r="L599" s="7">
        <f t="shared" si="33"/>
        <v>1280</v>
      </c>
      <c r="M599" s="14">
        <f t="shared" si="31"/>
        <v>1480</v>
      </c>
    </row>
    <row r="600" spans="1:13" x14ac:dyDescent="0.35">
      <c r="A600" s="3" t="s">
        <v>1441</v>
      </c>
      <c r="B600" s="3" t="s">
        <v>1826</v>
      </c>
      <c r="C600" s="3" t="s">
        <v>1443</v>
      </c>
      <c r="D600" s="4" t="s">
        <v>1450</v>
      </c>
      <c r="E600" s="4" t="s">
        <v>1451</v>
      </c>
      <c r="F600" s="5">
        <v>0.17499999999999999</v>
      </c>
      <c r="G600" s="6">
        <v>5</v>
      </c>
      <c r="H600" s="7">
        <v>301.5</v>
      </c>
      <c r="I600" s="7">
        <v>340</v>
      </c>
      <c r="J600" s="7">
        <v>370</v>
      </c>
      <c r="K600" s="7">
        <f t="shared" si="32"/>
        <v>1507.5</v>
      </c>
      <c r="L600" s="7">
        <f t="shared" si="33"/>
        <v>1700</v>
      </c>
      <c r="M600" s="14">
        <f t="shared" si="31"/>
        <v>1850</v>
      </c>
    </row>
    <row r="601" spans="1:13" x14ac:dyDescent="0.35">
      <c r="A601" s="3" t="s">
        <v>1441</v>
      </c>
      <c r="B601" s="3" t="s">
        <v>1826</v>
      </c>
      <c r="C601" s="3" t="s">
        <v>1443</v>
      </c>
      <c r="D601" s="4" t="s">
        <v>1456</v>
      </c>
      <c r="E601" s="4" t="s">
        <v>1860</v>
      </c>
      <c r="F601" s="5">
        <v>0.09</v>
      </c>
      <c r="G601" s="6">
        <v>5</v>
      </c>
      <c r="H601" s="7">
        <v>167.66</v>
      </c>
      <c r="I601" s="7">
        <v>195</v>
      </c>
      <c r="J601" s="7">
        <v>200</v>
      </c>
      <c r="K601" s="7">
        <f t="shared" si="32"/>
        <v>838.3</v>
      </c>
      <c r="L601" s="7">
        <f t="shared" si="33"/>
        <v>975</v>
      </c>
      <c r="M601" s="14">
        <f t="shared" si="31"/>
        <v>1000</v>
      </c>
    </row>
    <row r="602" spans="1:13" x14ac:dyDescent="0.35">
      <c r="A602" s="3" t="s">
        <v>1441</v>
      </c>
      <c r="B602" s="3" t="s">
        <v>1826</v>
      </c>
      <c r="C602" s="3" t="s">
        <v>1443</v>
      </c>
      <c r="D602" s="4" t="s">
        <v>1454</v>
      </c>
      <c r="E602" s="4" t="s">
        <v>1455</v>
      </c>
      <c r="F602" s="5">
        <v>0.09</v>
      </c>
      <c r="G602" s="6">
        <v>8</v>
      </c>
      <c r="H602" s="7">
        <v>177</v>
      </c>
      <c r="I602" s="7">
        <v>200</v>
      </c>
      <c r="J602" s="7">
        <v>200</v>
      </c>
      <c r="K602" s="7">
        <f t="shared" si="32"/>
        <v>1416</v>
      </c>
      <c r="L602" s="7">
        <f t="shared" si="33"/>
        <v>1600</v>
      </c>
      <c r="M602" s="14">
        <f t="shared" si="31"/>
        <v>1600</v>
      </c>
    </row>
    <row r="603" spans="1:13" x14ac:dyDescent="0.35">
      <c r="A603" s="3" t="s">
        <v>1441</v>
      </c>
      <c r="B603" s="3" t="s">
        <v>1826</v>
      </c>
      <c r="C603" s="3" t="s">
        <v>1443</v>
      </c>
      <c r="D603" s="4" t="s">
        <v>1447</v>
      </c>
      <c r="E603" s="4" t="s">
        <v>1448</v>
      </c>
      <c r="F603" s="5">
        <v>8.9999999999999993E-3</v>
      </c>
      <c r="G603" s="6">
        <v>36</v>
      </c>
      <c r="H603" s="7">
        <v>9.14</v>
      </c>
      <c r="I603" s="7">
        <v>10</v>
      </c>
      <c r="J603" s="7">
        <v>10</v>
      </c>
      <c r="K603" s="7">
        <f t="shared" si="32"/>
        <v>329.04</v>
      </c>
      <c r="L603" s="7">
        <f t="shared" si="33"/>
        <v>360</v>
      </c>
      <c r="M603" s="14">
        <f t="shared" si="31"/>
        <v>360</v>
      </c>
    </row>
    <row r="604" spans="1:13" x14ac:dyDescent="0.35">
      <c r="A604" s="3" t="s">
        <v>1441</v>
      </c>
      <c r="B604" s="3" t="s">
        <v>1826</v>
      </c>
      <c r="C604" s="3" t="s">
        <v>1443</v>
      </c>
      <c r="D604" s="4" t="s">
        <v>1445</v>
      </c>
      <c r="E604" s="4" t="s">
        <v>1446</v>
      </c>
      <c r="F604" s="5">
        <v>8.9999999999999993E-3</v>
      </c>
      <c r="G604" s="6">
        <v>45</v>
      </c>
      <c r="H604" s="7">
        <v>9.1399000000000008</v>
      </c>
      <c r="I604" s="7">
        <v>10</v>
      </c>
      <c r="J604" s="7">
        <v>10</v>
      </c>
      <c r="K604" s="7">
        <f t="shared" si="32"/>
        <v>411.29550000000006</v>
      </c>
      <c r="L604" s="7">
        <f t="shared" si="33"/>
        <v>450</v>
      </c>
      <c r="M604" s="14">
        <f t="shared" si="31"/>
        <v>450</v>
      </c>
    </row>
    <row r="605" spans="1:13" x14ac:dyDescent="0.35">
      <c r="A605" s="3" t="s">
        <v>529</v>
      </c>
      <c r="B605" s="3" t="s">
        <v>1826</v>
      </c>
      <c r="C605" s="3" t="s">
        <v>530</v>
      </c>
      <c r="D605" s="4" t="s">
        <v>535</v>
      </c>
      <c r="E605" s="4" t="s">
        <v>536</v>
      </c>
      <c r="F605" s="5">
        <v>7.0000000000000007E-2</v>
      </c>
      <c r="G605" s="10">
        <v>1</v>
      </c>
      <c r="H605" s="7">
        <v>65.28</v>
      </c>
      <c r="I605" s="7">
        <v>70</v>
      </c>
      <c r="J605" s="7">
        <v>70</v>
      </c>
      <c r="K605" s="7">
        <f t="shared" si="32"/>
        <v>65.28</v>
      </c>
      <c r="L605" s="7">
        <f t="shared" si="33"/>
        <v>70</v>
      </c>
      <c r="M605" s="14">
        <f t="shared" si="31"/>
        <v>70</v>
      </c>
    </row>
    <row r="606" spans="1:13" x14ac:dyDescent="0.35">
      <c r="A606" s="3" t="s">
        <v>529</v>
      </c>
      <c r="B606" s="3" t="s">
        <v>1826</v>
      </c>
      <c r="C606" s="3" t="s">
        <v>530</v>
      </c>
      <c r="D606" s="4" t="s">
        <v>531</v>
      </c>
      <c r="E606" s="4" t="s">
        <v>532</v>
      </c>
      <c r="F606" s="5">
        <v>0.2</v>
      </c>
      <c r="G606" s="10">
        <v>2</v>
      </c>
      <c r="H606" s="7">
        <v>255</v>
      </c>
      <c r="I606" s="7">
        <v>280</v>
      </c>
      <c r="J606" s="7">
        <v>280</v>
      </c>
      <c r="K606" s="7">
        <f t="shared" si="32"/>
        <v>510</v>
      </c>
      <c r="L606" s="7">
        <f t="shared" si="33"/>
        <v>560</v>
      </c>
      <c r="M606" s="14">
        <f t="shared" si="31"/>
        <v>560</v>
      </c>
    </row>
    <row r="607" spans="1:13" x14ac:dyDescent="0.35">
      <c r="A607" s="3" t="s">
        <v>529</v>
      </c>
      <c r="B607" s="3" t="s">
        <v>1826</v>
      </c>
      <c r="C607" s="3" t="s">
        <v>530</v>
      </c>
      <c r="D607" s="4" t="s">
        <v>533</v>
      </c>
      <c r="E607" s="4" t="s">
        <v>534</v>
      </c>
      <c r="F607" s="5">
        <v>0.13</v>
      </c>
      <c r="G607" s="10">
        <v>2</v>
      </c>
      <c r="H607" s="7">
        <v>115.72</v>
      </c>
      <c r="I607" s="7">
        <v>125</v>
      </c>
      <c r="J607" s="7">
        <v>125</v>
      </c>
      <c r="K607" s="7">
        <f t="shared" si="32"/>
        <v>231.44</v>
      </c>
      <c r="L607" s="7">
        <f t="shared" si="33"/>
        <v>250</v>
      </c>
      <c r="M607" s="14">
        <f t="shared" si="31"/>
        <v>250</v>
      </c>
    </row>
    <row r="608" spans="1:13" x14ac:dyDescent="0.35">
      <c r="A608" s="3" t="s">
        <v>529</v>
      </c>
      <c r="B608" s="3" t="s">
        <v>1826</v>
      </c>
      <c r="C608" s="3" t="s">
        <v>530</v>
      </c>
      <c r="D608" s="4" t="s">
        <v>539</v>
      </c>
      <c r="E608" s="4" t="s">
        <v>540</v>
      </c>
      <c r="F608" s="5">
        <v>0.1</v>
      </c>
      <c r="G608" s="10">
        <v>2</v>
      </c>
      <c r="H608" s="7">
        <v>91.66</v>
      </c>
      <c r="I608" s="7">
        <v>100</v>
      </c>
      <c r="J608" s="7">
        <v>100</v>
      </c>
      <c r="K608" s="7">
        <f t="shared" si="32"/>
        <v>183.32</v>
      </c>
      <c r="L608" s="7">
        <f t="shared" si="33"/>
        <v>200</v>
      </c>
      <c r="M608" s="14">
        <f t="shared" si="31"/>
        <v>200</v>
      </c>
    </row>
    <row r="609" spans="1:13" x14ac:dyDescent="0.35">
      <c r="A609" s="3" t="s">
        <v>529</v>
      </c>
      <c r="B609" s="3" t="s">
        <v>1826</v>
      </c>
      <c r="C609" s="3" t="s">
        <v>530</v>
      </c>
      <c r="D609" s="4" t="s">
        <v>537</v>
      </c>
      <c r="E609" s="4" t="s">
        <v>538</v>
      </c>
      <c r="F609" s="5">
        <v>7.0000000000000007E-2</v>
      </c>
      <c r="G609" s="10">
        <v>4</v>
      </c>
      <c r="H609" s="7">
        <v>62.5</v>
      </c>
      <c r="I609" s="7">
        <v>70</v>
      </c>
      <c r="J609" s="7">
        <v>70</v>
      </c>
      <c r="K609" s="7">
        <f t="shared" si="32"/>
        <v>250</v>
      </c>
      <c r="L609" s="7">
        <f t="shared" si="33"/>
        <v>280</v>
      </c>
      <c r="M609" s="14">
        <f t="shared" si="31"/>
        <v>280</v>
      </c>
    </row>
    <row r="610" spans="1:13" x14ac:dyDescent="0.35">
      <c r="A610" s="3" t="s">
        <v>529</v>
      </c>
      <c r="B610" s="3" t="s">
        <v>1826</v>
      </c>
      <c r="C610" s="3" t="s">
        <v>530</v>
      </c>
      <c r="D610" s="4" t="s">
        <v>541</v>
      </c>
      <c r="E610" s="4" t="s">
        <v>542</v>
      </c>
      <c r="F610" s="5">
        <v>1.2999999999999999E-2</v>
      </c>
      <c r="G610" s="10">
        <v>5</v>
      </c>
      <c r="H610" s="7">
        <v>114.83</v>
      </c>
      <c r="I610" s="7">
        <v>125</v>
      </c>
      <c r="J610" s="7">
        <v>125</v>
      </c>
      <c r="K610" s="7">
        <f t="shared" si="32"/>
        <v>574.15</v>
      </c>
      <c r="L610" s="7">
        <f t="shared" si="33"/>
        <v>625</v>
      </c>
      <c r="M610" s="14">
        <f t="shared" si="31"/>
        <v>625</v>
      </c>
    </row>
    <row r="611" spans="1:13" x14ac:dyDescent="0.35">
      <c r="A611" s="3" t="s">
        <v>529</v>
      </c>
      <c r="B611" s="3" t="s">
        <v>1826</v>
      </c>
      <c r="C611" s="3" t="s">
        <v>530</v>
      </c>
      <c r="D611" s="4" t="s">
        <v>543</v>
      </c>
      <c r="E611" s="4" t="s">
        <v>544</v>
      </c>
      <c r="F611" s="5">
        <v>0.123</v>
      </c>
      <c r="G611" s="10">
        <v>9</v>
      </c>
      <c r="H611" s="7">
        <v>110.33</v>
      </c>
      <c r="I611" s="7">
        <v>130</v>
      </c>
      <c r="J611" s="7">
        <v>130</v>
      </c>
      <c r="K611" s="7">
        <f t="shared" si="32"/>
        <v>992.97</v>
      </c>
      <c r="L611" s="7">
        <f t="shared" si="33"/>
        <v>1170</v>
      </c>
      <c r="M611" s="14">
        <f t="shared" si="31"/>
        <v>1170</v>
      </c>
    </row>
    <row r="612" spans="1:13" x14ac:dyDescent="0.35">
      <c r="A612" s="3" t="s">
        <v>529</v>
      </c>
      <c r="B612" s="11" t="s">
        <v>1826</v>
      </c>
      <c r="C612" s="3" t="s">
        <v>569</v>
      </c>
      <c r="D612" s="4" t="s">
        <v>576</v>
      </c>
      <c r="E612" s="4" t="s">
        <v>577</v>
      </c>
      <c r="F612" s="5">
        <v>0.13</v>
      </c>
      <c r="G612" s="10">
        <v>1</v>
      </c>
      <c r="H612" s="7">
        <v>134</v>
      </c>
      <c r="I612" s="7">
        <v>150</v>
      </c>
      <c r="J612" s="7">
        <v>150</v>
      </c>
      <c r="K612" s="7">
        <f t="shared" si="32"/>
        <v>134</v>
      </c>
      <c r="L612" s="7">
        <f t="shared" si="33"/>
        <v>150</v>
      </c>
      <c r="M612" s="14">
        <f t="shared" si="31"/>
        <v>150</v>
      </c>
    </row>
    <row r="613" spans="1:13" x14ac:dyDescent="0.35">
      <c r="A613" s="3" t="s">
        <v>529</v>
      </c>
      <c r="B613" s="11" t="s">
        <v>1826</v>
      </c>
      <c r="C613" s="3" t="s">
        <v>569</v>
      </c>
      <c r="D613" s="4" t="s">
        <v>587</v>
      </c>
      <c r="E613" s="4" t="s">
        <v>580</v>
      </c>
      <c r="F613" s="5">
        <v>0.17</v>
      </c>
      <c r="G613" s="10">
        <v>1</v>
      </c>
      <c r="H613" s="7">
        <v>163.75</v>
      </c>
      <c r="I613" s="7">
        <v>175</v>
      </c>
      <c r="J613" s="7">
        <v>180</v>
      </c>
      <c r="K613" s="7">
        <f t="shared" si="32"/>
        <v>163.75</v>
      </c>
      <c r="L613" s="7">
        <f t="shared" si="33"/>
        <v>175</v>
      </c>
      <c r="M613" s="14">
        <f t="shared" si="31"/>
        <v>180</v>
      </c>
    </row>
    <row r="614" spans="1:13" x14ac:dyDescent="0.35">
      <c r="A614" s="3" t="s">
        <v>529</v>
      </c>
      <c r="B614" s="11" t="s">
        <v>1826</v>
      </c>
      <c r="C614" s="3" t="s">
        <v>569</v>
      </c>
      <c r="D614" s="4" t="s">
        <v>570</v>
      </c>
      <c r="E614" s="4" t="s">
        <v>571</v>
      </c>
      <c r="F614" s="5">
        <v>0.05</v>
      </c>
      <c r="G614" s="10">
        <v>2</v>
      </c>
      <c r="H614" s="7">
        <v>66</v>
      </c>
      <c r="I614" s="7">
        <v>70</v>
      </c>
      <c r="J614" s="7">
        <v>70</v>
      </c>
      <c r="K614" s="7">
        <f t="shared" si="32"/>
        <v>132</v>
      </c>
      <c r="L614" s="7">
        <f t="shared" si="33"/>
        <v>140</v>
      </c>
      <c r="M614" s="14">
        <f t="shared" si="31"/>
        <v>140</v>
      </c>
    </row>
    <row r="615" spans="1:13" x14ac:dyDescent="0.35">
      <c r="A615" s="3" t="s">
        <v>529</v>
      </c>
      <c r="B615" s="11" t="s">
        <v>1826</v>
      </c>
      <c r="C615" s="3" t="s">
        <v>569</v>
      </c>
      <c r="D615" s="4" t="s">
        <v>572</v>
      </c>
      <c r="E615" s="4" t="s">
        <v>573</v>
      </c>
      <c r="F615" s="5">
        <v>0.05</v>
      </c>
      <c r="G615" s="10">
        <v>2</v>
      </c>
      <c r="H615" s="7">
        <v>66</v>
      </c>
      <c r="I615" s="7">
        <v>70</v>
      </c>
      <c r="J615" s="7">
        <v>70</v>
      </c>
      <c r="K615" s="7">
        <f t="shared" si="32"/>
        <v>132</v>
      </c>
      <c r="L615" s="7">
        <f t="shared" si="33"/>
        <v>140</v>
      </c>
      <c r="M615" s="14">
        <f t="shared" si="31"/>
        <v>140</v>
      </c>
    </row>
    <row r="616" spans="1:13" x14ac:dyDescent="0.35">
      <c r="A616" s="3" t="s">
        <v>1441</v>
      </c>
      <c r="B616" s="3" t="s">
        <v>1442</v>
      </c>
      <c r="C616" s="3" t="s">
        <v>1442</v>
      </c>
      <c r="D616" s="4" t="s">
        <v>1506</v>
      </c>
      <c r="E616" s="4" t="s">
        <v>1507</v>
      </c>
      <c r="F616" s="5">
        <v>0</v>
      </c>
      <c r="G616" s="6">
        <v>2</v>
      </c>
      <c r="H616" s="7">
        <v>230</v>
      </c>
      <c r="I616" s="7">
        <v>250</v>
      </c>
      <c r="J616" s="7">
        <v>250</v>
      </c>
      <c r="K616" s="7">
        <f t="shared" si="32"/>
        <v>460</v>
      </c>
      <c r="L616" s="7">
        <f t="shared" si="33"/>
        <v>500</v>
      </c>
      <c r="M616" s="14">
        <f t="shared" si="31"/>
        <v>500</v>
      </c>
    </row>
    <row r="617" spans="1:13" x14ac:dyDescent="0.35">
      <c r="A617" s="3" t="s">
        <v>1441</v>
      </c>
      <c r="B617" s="3" t="s">
        <v>1442</v>
      </c>
      <c r="C617" s="3" t="s">
        <v>1442</v>
      </c>
      <c r="D617" s="4" t="s">
        <v>1508</v>
      </c>
      <c r="E617" s="4" t="s">
        <v>1509</v>
      </c>
      <c r="F617" s="5">
        <v>0</v>
      </c>
      <c r="G617" s="6">
        <v>7</v>
      </c>
      <c r="H617" s="7">
        <v>124</v>
      </c>
      <c r="I617" s="7">
        <v>140</v>
      </c>
      <c r="J617" s="7">
        <v>150</v>
      </c>
      <c r="K617" s="7">
        <f t="shared" si="32"/>
        <v>868</v>
      </c>
      <c r="L617" s="7">
        <f t="shared" si="33"/>
        <v>980</v>
      </c>
      <c r="M617" s="14">
        <f t="shared" si="31"/>
        <v>1050</v>
      </c>
    </row>
    <row r="618" spans="1:13" x14ac:dyDescent="0.35">
      <c r="A618" s="3" t="s">
        <v>1441</v>
      </c>
      <c r="B618" s="3" t="s">
        <v>1442</v>
      </c>
      <c r="C618" s="3" t="s">
        <v>1442</v>
      </c>
      <c r="D618" s="4" t="s">
        <v>1510</v>
      </c>
      <c r="E618" s="4" t="s">
        <v>1511</v>
      </c>
      <c r="F618" s="5">
        <v>0</v>
      </c>
      <c r="G618" s="6">
        <v>8</v>
      </c>
      <c r="H618" s="7">
        <v>115</v>
      </c>
      <c r="I618" s="7">
        <v>140</v>
      </c>
      <c r="J618" s="7">
        <v>150</v>
      </c>
      <c r="K618" s="7">
        <f t="shared" si="32"/>
        <v>920</v>
      </c>
      <c r="L618" s="7">
        <f t="shared" si="33"/>
        <v>1120</v>
      </c>
      <c r="M618" s="14">
        <f t="shared" si="31"/>
        <v>1200</v>
      </c>
    </row>
    <row r="619" spans="1:13" x14ac:dyDescent="0.35">
      <c r="A619" s="3" t="s">
        <v>1441</v>
      </c>
      <c r="B619" s="3" t="s">
        <v>1442</v>
      </c>
      <c r="C619" s="3" t="s">
        <v>1442</v>
      </c>
      <c r="D619" s="4" t="s">
        <v>1512</v>
      </c>
      <c r="E619" s="4" t="s">
        <v>1513</v>
      </c>
      <c r="F619" s="5">
        <v>0</v>
      </c>
      <c r="G619" s="6">
        <v>2</v>
      </c>
      <c r="H619" s="7">
        <v>72</v>
      </c>
      <c r="I619" s="7">
        <v>80</v>
      </c>
      <c r="J619" s="7">
        <v>80</v>
      </c>
      <c r="K619" s="7">
        <f t="shared" si="32"/>
        <v>144</v>
      </c>
      <c r="L619" s="7">
        <f t="shared" si="33"/>
        <v>160</v>
      </c>
      <c r="M619" s="14">
        <f t="shared" si="31"/>
        <v>160</v>
      </c>
    </row>
    <row r="620" spans="1:13" x14ac:dyDescent="0.35">
      <c r="A620" s="3" t="s">
        <v>1441</v>
      </c>
      <c r="B620" s="3" t="s">
        <v>1442</v>
      </c>
      <c r="C620" s="3" t="s">
        <v>1442</v>
      </c>
      <c r="D620" s="4" t="s">
        <v>1514</v>
      </c>
      <c r="E620" s="4" t="s">
        <v>1515</v>
      </c>
      <c r="F620" s="5">
        <v>0</v>
      </c>
      <c r="G620" s="6">
        <v>5</v>
      </c>
      <c r="H620" s="7">
        <v>72</v>
      </c>
      <c r="I620" s="7">
        <v>90</v>
      </c>
      <c r="J620" s="7">
        <v>90</v>
      </c>
      <c r="K620" s="7">
        <f t="shared" si="32"/>
        <v>360</v>
      </c>
      <c r="L620" s="7">
        <f t="shared" si="33"/>
        <v>450</v>
      </c>
      <c r="M620" s="14">
        <f t="shared" si="31"/>
        <v>450</v>
      </c>
    </row>
    <row r="621" spans="1:13" ht="15" customHeight="1" x14ac:dyDescent="0.35">
      <c r="A621" s="3" t="s">
        <v>1441</v>
      </c>
      <c r="B621" s="3" t="s">
        <v>1849</v>
      </c>
      <c r="C621" s="3" t="s">
        <v>1516</v>
      </c>
      <c r="D621" s="4" t="s">
        <v>1517</v>
      </c>
      <c r="E621" s="4" t="s">
        <v>1518</v>
      </c>
      <c r="F621" s="5">
        <v>0.36</v>
      </c>
      <c r="G621" s="6">
        <v>1</v>
      </c>
      <c r="H621" s="7">
        <v>782.2</v>
      </c>
      <c r="I621" s="7">
        <v>860</v>
      </c>
      <c r="J621" s="7">
        <v>910</v>
      </c>
      <c r="K621" s="7">
        <f t="shared" si="32"/>
        <v>782.2</v>
      </c>
      <c r="L621" s="7">
        <f t="shared" si="33"/>
        <v>860</v>
      </c>
      <c r="M621" s="14">
        <f t="shared" si="31"/>
        <v>910</v>
      </c>
    </row>
    <row r="622" spans="1:13" x14ac:dyDescent="0.35">
      <c r="A622" s="3" t="s">
        <v>1441</v>
      </c>
      <c r="B622" s="3" t="s">
        <v>1849</v>
      </c>
      <c r="C622" s="3" t="s">
        <v>1516</v>
      </c>
      <c r="D622" s="4" t="s">
        <v>1519</v>
      </c>
      <c r="E622" s="4" t="s">
        <v>1520</v>
      </c>
      <c r="F622" s="5">
        <v>0.36</v>
      </c>
      <c r="G622" s="6">
        <v>1</v>
      </c>
      <c r="H622" s="7">
        <v>782.2</v>
      </c>
      <c r="I622" s="7">
        <v>860</v>
      </c>
      <c r="J622" s="7">
        <v>930</v>
      </c>
      <c r="K622" s="7">
        <f t="shared" si="32"/>
        <v>782.2</v>
      </c>
      <c r="L622" s="7">
        <f t="shared" si="33"/>
        <v>860</v>
      </c>
      <c r="M622" s="14">
        <f t="shared" si="31"/>
        <v>930</v>
      </c>
    </row>
    <row r="623" spans="1:13" x14ac:dyDescent="0.35">
      <c r="A623" s="3" t="s">
        <v>1441</v>
      </c>
      <c r="B623" s="3" t="s">
        <v>1849</v>
      </c>
      <c r="C623" s="3" t="s">
        <v>1516</v>
      </c>
      <c r="D623" s="4" t="s">
        <v>1521</v>
      </c>
      <c r="E623" s="4" t="s">
        <v>1522</v>
      </c>
      <c r="F623" s="5">
        <v>0.36</v>
      </c>
      <c r="G623" s="6">
        <v>1</v>
      </c>
      <c r="H623" s="7">
        <v>782.2</v>
      </c>
      <c r="I623" s="7">
        <v>860</v>
      </c>
      <c r="J623" s="7">
        <v>910</v>
      </c>
      <c r="K623" s="7">
        <f t="shared" si="32"/>
        <v>782.2</v>
      </c>
      <c r="L623" s="7">
        <f t="shared" si="33"/>
        <v>860</v>
      </c>
      <c r="M623" s="14">
        <f t="shared" si="31"/>
        <v>910</v>
      </c>
    </row>
    <row r="624" spans="1:13" x14ac:dyDescent="0.35">
      <c r="A624" s="3" t="s">
        <v>1441</v>
      </c>
      <c r="B624" s="3" t="s">
        <v>1849</v>
      </c>
      <c r="C624" s="3" t="s">
        <v>1516</v>
      </c>
      <c r="D624" s="4" t="s">
        <v>1523</v>
      </c>
      <c r="E624" s="4" t="s">
        <v>1524</v>
      </c>
      <c r="F624" s="5">
        <v>0.36</v>
      </c>
      <c r="G624" s="6">
        <v>2</v>
      </c>
      <c r="H624" s="7">
        <v>782.2</v>
      </c>
      <c r="I624" s="7">
        <v>860</v>
      </c>
      <c r="J624" s="7">
        <v>910</v>
      </c>
      <c r="K624" s="7">
        <f t="shared" si="32"/>
        <v>1564.4</v>
      </c>
      <c r="L624" s="7">
        <f t="shared" si="33"/>
        <v>1720</v>
      </c>
      <c r="M624" s="14">
        <f t="shared" si="31"/>
        <v>1820</v>
      </c>
    </row>
    <row r="625" spans="1:13" x14ac:dyDescent="0.35">
      <c r="A625" s="3" t="s">
        <v>1441</v>
      </c>
      <c r="B625" s="3" t="s">
        <v>12</v>
      </c>
      <c r="C625" s="3" t="s">
        <v>1850</v>
      </c>
      <c r="D625" s="4" t="s">
        <v>1525</v>
      </c>
      <c r="E625" s="4" t="s">
        <v>1526</v>
      </c>
      <c r="F625" s="5">
        <v>1</v>
      </c>
      <c r="G625" s="6">
        <v>16</v>
      </c>
      <c r="H625" s="7">
        <v>416</v>
      </c>
      <c r="I625" s="7">
        <v>480</v>
      </c>
      <c r="J625" s="7">
        <v>480</v>
      </c>
      <c r="K625" s="7">
        <f t="shared" si="32"/>
        <v>6656</v>
      </c>
      <c r="L625" s="7">
        <f t="shared" si="33"/>
        <v>7680</v>
      </c>
      <c r="M625" s="14">
        <f t="shared" si="31"/>
        <v>7680</v>
      </c>
    </row>
    <row r="626" spans="1:13" ht="15" customHeight="1" x14ac:dyDescent="0.35">
      <c r="A626" s="3" t="s">
        <v>1441</v>
      </c>
      <c r="B626" s="3" t="s">
        <v>1851</v>
      </c>
      <c r="C626" s="3" t="s">
        <v>1527</v>
      </c>
      <c r="D626" s="4" t="s">
        <v>1528</v>
      </c>
      <c r="E626" s="4" t="s">
        <v>1529</v>
      </c>
      <c r="F626" s="5">
        <v>0</v>
      </c>
      <c r="G626" s="6">
        <v>0</v>
      </c>
      <c r="H626" s="7">
        <v>230</v>
      </c>
      <c r="I626" s="7">
        <v>270</v>
      </c>
      <c r="J626" s="7">
        <v>300</v>
      </c>
      <c r="K626" s="7">
        <f t="shared" si="32"/>
        <v>0</v>
      </c>
      <c r="L626" s="7">
        <f t="shared" si="33"/>
        <v>0</v>
      </c>
      <c r="M626" s="14">
        <f t="shared" si="31"/>
        <v>0</v>
      </c>
    </row>
    <row r="627" spans="1:13" x14ac:dyDescent="0.35">
      <c r="A627" s="3" t="s">
        <v>1441</v>
      </c>
      <c r="B627" s="3" t="s">
        <v>1851</v>
      </c>
      <c r="C627" s="3" t="s">
        <v>1527</v>
      </c>
      <c r="D627" s="4" t="s">
        <v>1530</v>
      </c>
      <c r="E627" s="4" t="s">
        <v>1531</v>
      </c>
      <c r="F627" s="5">
        <v>0</v>
      </c>
      <c r="G627" s="6">
        <v>13</v>
      </c>
      <c r="H627" s="7">
        <v>230</v>
      </c>
      <c r="I627" s="7">
        <v>270</v>
      </c>
      <c r="J627" s="7">
        <v>300</v>
      </c>
      <c r="K627" s="7">
        <f t="shared" si="32"/>
        <v>2990</v>
      </c>
      <c r="L627" s="7">
        <f t="shared" si="33"/>
        <v>3510</v>
      </c>
      <c r="M627" s="14">
        <f t="shared" si="31"/>
        <v>3900</v>
      </c>
    </row>
    <row r="628" spans="1:13" x14ac:dyDescent="0.35">
      <c r="A628" s="3" t="s">
        <v>1441</v>
      </c>
      <c r="B628" s="3" t="s">
        <v>1851</v>
      </c>
      <c r="C628" s="3" t="s">
        <v>1527</v>
      </c>
      <c r="D628" s="4" t="s">
        <v>1532</v>
      </c>
      <c r="E628" s="4" t="s">
        <v>1533</v>
      </c>
      <c r="F628" s="5">
        <v>0</v>
      </c>
      <c r="G628" s="6">
        <v>1</v>
      </c>
      <c r="H628" s="7">
        <v>230</v>
      </c>
      <c r="I628" s="7">
        <v>270</v>
      </c>
      <c r="J628" s="7">
        <v>300</v>
      </c>
      <c r="K628" s="7">
        <f t="shared" si="32"/>
        <v>230</v>
      </c>
      <c r="L628" s="7">
        <f t="shared" si="33"/>
        <v>270</v>
      </c>
      <c r="M628" s="14">
        <f t="shared" si="31"/>
        <v>300</v>
      </c>
    </row>
    <row r="629" spans="1:13" x14ac:dyDescent="0.35">
      <c r="A629" s="3" t="s">
        <v>1441</v>
      </c>
      <c r="B629" s="3" t="s">
        <v>1851</v>
      </c>
      <c r="C629" s="3" t="s">
        <v>1527</v>
      </c>
      <c r="D629" s="4" t="s">
        <v>1534</v>
      </c>
      <c r="E629" s="4" t="s">
        <v>1535</v>
      </c>
      <c r="F629" s="5">
        <v>0</v>
      </c>
      <c r="G629" s="6">
        <v>1</v>
      </c>
      <c r="H629" s="7">
        <v>230</v>
      </c>
      <c r="I629" s="7">
        <v>270</v>
      </c>
      <c r="J629" s="7">
        <v>300</v>
      </c>
      <c r="K629" s="7">
        <f t="shared" si="32"/>
        <v>230</v>
      </c>
      <c r="L629" s="7">
        <f t="shared" si="33"/>
        <v>270</v>
      </c>
      <c r="M629" s="14">
        <f t="shared" si="31"/>
        <v>300</v>
      </c>
    </row>
    <row r="630" spans="1:13" x14ac:dyDescent="0.35">
      <c r="A630" s="3" t="s">
        <v>1441</v>
      </c>
      <c r="B630" s="3" t="s">
        <v>1851</v>
      </c>
      <c r="C630" s="3" t="s">
        <v>1527</v>
      </c>
      <c r="D630" s="4" t="s">
        <v>1536</v>
      </c>
      <c r="E630" s="4" t="s">
        <v>1537</v>
      </c>
      <c r="F630" s="5">
        <v>0</v>
      </c>
      <c r="G630" s="6">
        <v>2</v>
      </c>
      <c r="H630" s="7">
        <v>230</v>
      </c>
      <c r="I630" s="7">
        <v>270</v>
      </c>
      <c r="J630" s="7">
        <v>300</v>
      </c>
      <c r="K630" s="7">
        <f t="shared" si="32"/>
        <v>460</v>
      </c>
      <c r="L630" s="7">
        <f t="shared" si="33"/>
        <v>540</v>
      </c>
      <c r="M630" s="14">
        <f t="shared" si="31"/>
        <v>600</v>
      </c>
    </row>
    <row r="631" spans="1:13" x14ac:dyDescent="0.35">
      <c r="A631" s="3" t="s">
        <v>1441</v>
      </c>
      <c r="B631" s="3" t="s">
        <v>1851</v>
      </c>
      <c r="C631" s="3" t="s">
        <v>1527</v>
      </c>
      <c r="D631" s="4" t="s">
        <v>1538</v>
      </c>
      <c r="E631" s="4" t="s">
        <v>1539</v>
      </c>
      <c r="F631" s="5">
        <v>0</v>
      </c>
      <c r="G631" s="6">
        <v>1</v>
      </c>
      <c r="H631" s="7">
        <v>225</v>
      </c>
      <c r="I631" s="7">
        <v>270</v>
      </c>
      <c r="J631" s="7">
        <v>300</v>
      </c>
      <c r="K631" s="7">
        <f t="shared" si="32"/>
        <v>225</v>
      </c>
      <c r="L631" s="7">
        <f t="shared" si="33"/>
        <v>270</v>
      </c>
      <c r="M631" s="14">
        <f t="shared" si="31"/>
        <v>300</v>
      </c>
    </row>
    <row r="632" spans="1:13" x14ac:dyDescent="0.35">
      <c r="A632" s="3" t="s">
        <v>1441</v>
      </c>
      <c r="B632" s="3" t="s">
        <v>1851</v>
      </c>
      <c r="C632" s="3" t="s">
        <v>1527</v>
      </c>
      <c r="D632" s="4" t="s">
        <v>1540</v>
      </c>
      <c r="E632" s="4" t="s">
        <v>1541</v>
      </c>
      <c r="F632" s="5">
        <v>0</v>
      </c>
      <c r="G632" s="6">
        <v>1</v>
      </c>
      <c r="H632" s="7">
        <v>234</v>
      </c>
      <c r="I632" s="7">
        <v>270</v>
      </c>
      <c r="J632" s="7">
        <v>300</v>
      </c>
      <c r="K632" s="7">
        <f t="shared" si="32"/>
        <v>234</v>
      </c>
      <c r="L632" s="7">
        <f t="shared" si="33"/>
        <v>270</v>
      </c>
      <c r="M632" s="14">
        <f t="shared" si="31"/>
        <v>300</v>
      </c>
    </row>
    <row r="633" spans="1:13" x14ac:dyDescent="0.35">
      <c r="A633" s="3" t="s">
        <v>1441</v>
      </c>
      <c r="B633" s="3" t="s">
        <v>1851</v>
      </c>
      <c r="C633" s="3" t="s">
        <v>1527</v>
      </c>
      <c r="D633" s="4" t="s">
        <v>1542</v>
      </c>
      <c r="E633" s="4" t="s">
        <v>1543</v>
      </c>
      <c r="F633" s="5">
        <v>0</v>
      </c>
      <c r="G633" s="6">
        <v>1</v>
      </c>
      <c r="H633" s="7">
        <v>230</v>
      </c>
      <c r="I633" s="7">
        <v>270</v>
      </c>
      <c r="J633" s="7">
        <v>300</v>
      </c>
      <c r="K633" s="7">
        <f t="shared" si="32"/>
        <v>230</v>
      </c>
      <c r="L633" s="7">
        <f t="shared" si="33"/>
        <v>270</v>
      </c>
      <c r="M633" s="14">
        <f t="shared" si="31"/>
        <v>300</v>
      </c>
    </row>
    <row r="634" spans="1:13" x14ac:dyDescent="0.35">
      <c r="A634" s="3" t="s">
        <v>1441</v>
      </c>
      <c r="B634" s="3" t="s">
        <v>1851</v>
      </c>
      <c r="C634" s="3" t="s">
        <v>1527</v>
      </c>
      <c r="D634" s="4" t="s">
        <v>1544</v>
      </c>
      <c r="E634" s="4" t="s">
        <v>1545</v>
      </c>
      <c r="F634" s="5">
        <v>0</v>
      </c>
      <c r="G634" s="6">
        <v>1</v>
      </c>
      <c r="H634" s="7">
        <v>230</v>
      </c>
      <c r="I634" s="7">
        <v>270</v>
      </c>
      <c r="J634" s="7">
        <v>300</v>
      </c>
      <c r="K634" s="7">
        <f t="shared" si="32"/>
        <v>230</v>
      </c>
      <c r="L634" s="7">
        <f t="shared" si="33"/>
        <v>270</v>
      </c>
      <c r="M634" s="14">
        <f t="shared" si="31"/>
        <v>300</v>
      </c>
    </row>
    <row r="635" spans="1:13" x14ac:dyDescent="0.35">
      <c r="A635" s="3" t="s">
        <v>1441</v>
      </c>
      <c r="B635" s="3" t="s">
        <v>1851</v>
      </c>
      <c r="C635" s="3" t="s">
        <v>1527</v>
      </c>
      <c r="D635" s="4" t="s">
        <v>1546</v>
      </c>
      <c r="E635" s="4" t="s">
        <v>1547</v>
      </c>
      <c r="F635" s="5">
        <v>0</v>
      </c>
      <c r="G635" s="6">
        <v>3</v>
      </c>
      <c r="H635" s="7">
        <v>225</v>
      </c>
      <c r="I635" s="7">
        <v>270</v>
      </c>
      <c r="J635" s="7">
        <v>300</v>
      </c>
      <c r="K635" s="7">
        <f t="shared" si="32"/>
        <v>675</v>
      </c>
      <c r="L635" s="7">
        <f t="shared" si="33"/>
        <v>810</v>
      </c>
      <c r="M635" s="14">
        <f t="shared" si="31"/>
        <v>900</v>
      </c>
    </row>
    <row r="636" spans="1:13" x14ac:dyDescent="0.35">
      <c r="A636" s="3" t="s">
        <v>1441</v>
      </c>
      <c r="B636" s="3" t="s">
        <v>1851</v>
      </c>
      <c r="C636" s="3" t="s">
        <v>1527</v>
      </c>
      <c r="D636" s="4" t="s">
        <v>1548</v>
      </c>
      <c r="E636" s="4" t="s">
        <v>1549</v>
      </c>
      <c r="F636" s="5">
        <v>0</v>
      </c>
      <c r="G636" s="6">
        <v>1</v>
      </c>
      <c r="H636" s="7">
        <v>225</v>
      </c>
      <c r="I636" s="7">
        <v>270</v>
      </c>
      <c r="J636" s="7">
        <v>300</v>
      </c>
      <c r="K636" s="7">
        <f t="shared" si="32"/>
        <v>225</v>
      </c>
      <c r="L636" s="7">
        <f t="shared" si="33"/>
        <v>270</v>
      </c>
      <c r="M636" s="14">
        <f t="shared" si="31"/>
        <v>300</v>
      </c>
    </row>
    <row r="637" spans="1:13" x14ac:dyDescent="0.35">
      <c r="A637" s="3" t="s">
        <v>1411</v>
      </c>
      <c r="B637" s="3" t="s">
        <v>1373</v>
      </c>
      <c r="C637" s="3" t="s">
        <v>1412</v>
      </c>
      <c r="D637" s="4" t="s">
        <v>1433</v>
      </c>
      <c r="E637" s="4" t="s">
        <v>1434</v>
      </c>
      <c r="F637" s="5">
        <v>0</v>
      </c>
      <c r="G637" s="6">
        <v>6</v>
      </c>
      <c r="H637" s="7">
        <v>166</v>
      </c>
      <c r="I637" s="7">
        <v>200</v>
      </c>
      <c r="J637" s="7">
        <v>200</v>
      </c>
      <c r="K637" s="7">
        <f t="shared" si="32"/>
        <v>996</v>
      </c>
      <c r="L637" s="7">
        <f t="shared" si="33"/>
        <v>1200</v>
      </c>
      <c r="M637" s="14">
        <f t="shared" si="31"/>
        <v>1200</v>
      </c>
    </row>
    <row r="638" spans="1:13" x14ac:dyDescent="0.35">
      <c r="A638" s="3" t="s">
        <v>529</v>
      </c>
      <c r="B638" s="11" t="s">
        <v>1826</v>
      </c>
      <c r="C638" s="3" t="s">
        <v>569</v>
      </c>
      <c r="D638" s="4" t="s">
        <v>574</v>
      </c>
      <c r="E638" s="4" t="s">
        <v>575</v>
      </c>
      <c r="F638" s="5">
        <v>0.1</v>
      </c>
      <c r="G638" s="10">
        <v>2</v>
      </c>
      <c r="H638" s="7">
        <v>116.17</v>
      </c>
      <c r="I638" s="7">
        <v>125</v>
      </c>
      <c r="J638" s="7">
        <v>130</v>
      </c>
      <c r="K638" s="7">
        <f t="shared" si="32"/>
        <v>232.34</v>
      </c>
      <c r="L638" s="7">
        <f t="shared" si="33"/>
        <v>250</v>
      </c>
      <c r="M638" s="14">
        <f t="shared" si="31"/>
        <v>260</v>
      </c>
    </row>
    <row r="639" spans="1:13" x14ac:dyDescent="0.35">
      <c r="A639" s="3" t="s">
        <v>529</v>
      </c>
      <c r="B639" s="11" t="s">
        <v>1826</v>
      </c>
      <c r="C639" s="3" t="s">
        <v>569</v>
      </c>
      <c r="D639" s="4" t="s">
        <v>588</v>
      </c>
      <c r="E639" s="4" t="s">
        <v>589</v>
      </c>
      <c r="F639" s="5">
        <v>0.13</v>
      </c>
      <c r="G639" s="10">
        <v>2</v>
      </c>
      <c r="H639" s="7">
        <v>404</v>
      </c>
      <c r="I639" s="7">
        <v>420</v>
      </c>
      <c r="J639" s="7">
        <v>420</v>
      </c>
      <c r="K639" s="7">
        <f t="shared" si="32"/>
        <v>808</v>
      </c>
      <c r="L639" s="7">
        <f t="shared" si="33"/>
        <v>840</v>
      </c>
      <c r="M639" s="14">
        <f t="shared" si="31"/>
        <v>840</v>
      </c>
    </row>
    <row r="640" spans="1:13" ht="15" customHeight="1" x14ac:dyDescent="0.35">
      <c r="A640" s="3" t="s">
        <v>1372</v>
      </c>
      <c r="B640" s="3" t="s">
        <v>1865</v>
      </c>
      <c r="C640" s="3" t="s">
        <v>1374</v>
      </c>
      <c r="D640" s="4" t="s">
        <v>1381</v>
      </c>
      <c r="E640" s="4" t="s">
        <v>1382</v>
      </c>
      <c r="F640" s="5">
        <v>0</v>
      </c>
      <c r="G640" s="6">
        <v>4</v>
      </c>
      <c r="H640" s="7">
        <v>242</v>
      </c>
      <c r="I640" s="7">
        <v>280</v>
      </c>
      <c r="J640" s="7">
        <v>280</v>
      </c>
      <c r="K640" s="7">
        <f t="shared" si="32"/>
        <v>968</v>
      </c>
      <c r="L640" s="7">
        <f t="shared" si="33"/>
        <v>1120</v>
      </c>
      <c r="M640" s="14">
        <f t="shared" si="31"/>
        <v>1120</v>
      </c>
    </row>
    <row r="641" spans="1:13" x14ac:dyDescent="0.35">
      <c r="A641" s="3" t="s">
        <v>419</v>
      </c>
      <c r="B641" s="11" t="s">
        <v>1373</v>
      </c>
      <c r="C641" s="3" t="s">
        <v>505</v>
      </c>
      <c r="D641" s="4" t="s">
        <v>506</v>
      </c>
      <c r="E641" s="4" t="s">
        <v>507</v>
      </c>
      <c r="F641" s="5">
        <v>0.5</v>
      </c>
      <c r="G641" s="10">
        <v>7</v>
      </c>
      <c r="H641" s="7">
        <v>270.83</v>
      </c>
      <c r="I641" s="7">
        <v>290</v>
      </c>
      <c r="J641" s="7">
        <v>290</v>
      </c>
      <c r="K641" s="7">
        <f t="shared" si="32"/>
        <v>1895.81</v>
      </c>
      <c r="L641" s="7">
        <f t="shared" si="33"/>
        <v>2030</v>
      </c>
      <c r="M641" s="14">
        <f t="shared" si="31"/>
        <v>2030</v>
      </c>
    </row>
    <row r="642" spans="1:13" x14ac:dyDescent="0.35">
      <c r="A642" s="3" t="s">
        <v>1372</v>
      </c>
      <c r="B642" s="3" t="s">
        <v>1863</v>
      </c>
      <c r="C642" s="3" t="s">
        <v>1390</v>
      </c>
      <c r="D642" s="4" t="s">
        <v>1403</v>
      </c>
      <c r="E642" s="4" t="s">
        <v>1404</v>
      </c>
      <c r="F642" s="5">
        <v>0</v>
      </c>
      <c r="G642" s="6"/>
      <c r="H642" s="7">
        <v>121</v>
      </c>
      <c r="I642" s="7">
        <v>180</v>
      </c>
      <c r="J642" s="7">
        <v>180</v>
      </c>
      <c r="K642" s="7">
        <f t="shared" si="32"/>
        <v>0</v>
      </c>
      <c r="L642" s="7">
        <f t="shared" si="33"/>
        <v>0</v>
      </c>
      <c r="M642" s="14">
        <f t="shared" si="31"/>
        <v>0</v>
      </c>
    </row>
    <row r="643" spans="1:13" x14ac:dyDescent="0.35">
      <c r="A643" s="3" t="s">
        <v>1372</v>
      </c>
      <c r="B643" s="3" t="s">
        <v>1373</v>
      </c>
      <c r="C643" s="3" t="s">
        <v>1390</v>
      </c>
      <c r="D643" s="4" t="s">
        <v>1409</v>
      </c>
      <c r="E643" s="4" t="s">
        <v>1410</v>
      </c>
      <c r="F643" s="5">
        <v>0</v>
      </c>
      <c r="G643" s="6">
        <v>8</v>
      </c>
      <c r="H643" s="7">
        <v>130</v>
      </c>
      <c r="I643" s="7">
        <v>180</v>
      </c>
      <c r="J643" s="7">
        <v>180</v>
      </c>
      <c r="K643" s="7">
        <f t="shared" si="32"/>
        <v>1040</v>
      </c>
      <c r="L643" s="7">
        <f t="shared" si="33"/>
        <v>1440</v>
      </c>
      <c r="M643" s="14">
        <f t="shared" si="31"/>
        <v>1440</v>
      </c>
    </row>
    <row r="644" spans="1:13" x14ac:dyDescent="0.35">
      <c r="A644" s="3" t="s">
        <v>1411</v>
      </c>
      <c r="B644" s="3" t="s">
        <v>1415</v>
      </c>
      <c r="C644" s="3" t="s">
        <v>1415</v>
      </c>
      <c r="D644" s="4" t="s">
        <v>1421</v>
      </c>
      <c r="E644" s="4" t="s">
        <v>1422</v>
      </c>
      <c r="F644" s="5">
        <v>3</v>
      </c>
      <c r="G644" s="6">
        <v>5</v>
      </c>
      <c r="H644" s="7">
        <v>290</v>
      </c>
      <c r="I644" s="7">
        <v>250</v>
      </c>
      <c r="J644" s="7">
        <v>250</v>
      </c>
      <c r="K644" s="7">
        <f t="shared" si="32"/>
        <v>1450</v>
      </c>
      <c r="L644" s="7">
        <f t="shared" si="33"/>
        <v>1250</v>
      </c>
      <c r="M644" s="14">
        <f t="shared" si="31"/>
        <v>1250</v>
      </c>
    </row>
    <row r="645" spans="1:13" x14ac:dyDescent="0.35">
      <c r="A645" s="3" t="s">
        <v>1411</v>
      </c>
      <c r="B645" s="3" t="s">
        <v>14</v>
      </c>
      <c r="C645" s="3" t="s">
        <v>1412</v>
      </c>
      <c r="D645" s="4" t="s">
        <v>1431</v>
      </c>
      <c r="E645" s="4" t="s">
        <v>1432</v>
      </c>
      <c r="F645" s="5">
        <v>0.25</v>
      </c>
      <c r="G645" s="6">
        <v>5</v>
      </c>
      <c r="H645" s="7">
        <v>75</v>
      </c>
      <c r="I645" s="7">
        <v>100</v>
      </c>
      <c r="J645" s="7">
        <v>100</v>
      </c>
      <c r="K645" s="7">
        <f t="shared" si="32"/>
        <v>375</v>
      </c>
      <c r="L645" s="7">
        <f t="shared" si="33"/>
        <v>500</v>
      </c>
      <c r="M645" s="14">
        <f t="shared" si="31"/>
        <v>500</v>
      </c>
    </row>
    <row r="646" spans="1:13" x14ac:dyDescent="0.35">
      <c r="A646" s="3" t="s">
        <v>1372</v>
      </c>
      <c r="B646" s="3" t="s">
        <v>1865</v>
      </c>
      <c r="C646" s="3" t="s">
        <v>1374</v>
      </c>
      <c r="D646" s="4" t="s">
        <v>1377</v>
      </c>
      <c r="E646" s="4" t="s">
        <v>1378</v>
      </c>
      <c r="F646" s="5">
        <v>0</v>
      </c>
      <c r="G646" s="6">
        <v>0</v>
      </c>
      <c r="H646" s="7">
        <v>238</v>
      </c>
      <c r="I646" s="7">
        <v>280</v>
      </c>
      <c r="J646" s="7">
        <v>300</v>
      </c>
      <c r="K646" s="7">
        <f t="shared" si="32"/>
        <v>0</v>
      </c>
      <c r="L646" s="7">
        <f t="shared" si="33"/>
        <v>0</v>
      </c>
      <c r="M646" s="14">
        <f t="shared" si="31"/>
        <v>0</v>
      </c>
    </row>
    <row r="647" spans="1:13" x14ac:dyDescent="0.35">
      <c r="A647" s="3" t="s">
        <v>1372</v>
      </c>
      <c r="B647" s="3" t="s">
        <v>1865</v>
      </c>
      <c r="C647" s="3" t="s">
        <v>1374</v>
      </c>
      <c r="D647" s="4" t="s">
        <v>1383</v>
      </c>
      <c r="E647" s="4" t="s">
        <v>1384</v>
      </c>
      <c r="F647" s="5">
        <v>0</v>
      </c>
      <c r="G647" s="6">
        <v>9</v>
      </c>
      <c r="H647" s="7">
        <v>485</v>
      </c>
      <c r="I647" s="7">
        <v>550</v>
      </c>
      <c r="J647" s="7">
        <v>550</v>
      </c>
      <c r="K647" s="7">
        <f t="shared" si="32"/>
        <v>4365</v>
      </c>
      <c r="L647" s="7">
        <f t="shared" si="33"/>
        <v>4950</v>
      </c>
      <c r="M647" s="14">
        <f t="shared" si="31"/>
        <v>4950</v>
      </c>
    </row>
    <row r="648" spans="1:13" x14ac:dyDescent="0.35">
      <c r="A648" s="3" t="s">
        <v>1372</v>
      </c>
      <c r="B648" s="3" t="s">
        <v>1863</v>
      </c>
      <c r="C648" s="3" t="s">
        <v>1390</v>
      </c>
      <c r="D648" s="4" t="s">
        <v>1407</v>
      </c>
      <c r="E648" s="4" t="s">
        <v>1408</v>
      </c>
      <c r="F648" s="5">
        <v>0</v>
      </c>
      <c r="G648" s="6">
        <v>1</v>
      </c>
      <c r="H648" s="7">
        <v>121</v>
      </c>
      <c r="I648" s="7">
        <v>180</v>
      </c>
      <c r="J648" s="7">
        <v>180</v>
      </c>
      <c r="K648" s="7">
        <f t="shared" si="32"/>
        <v>121</v>
      </c>
      <c r="L648" s="7">
        <f t="shared" si="33"/>
        <v>180</v>
      </c>
      <c r="M648" s="14">
        <f t="shared" si="31"/>
        <v>180</v>
      </c>
    </row>
    <row r="649" spans="1:13" x14ac:dyDescent="0.35">
      <c r="A649" s="3" t="s">
        <v>1411</v>
      </c>
      <c r="B649" s="3" t="s">
        <v>1415</v>
      </c>
      <c r="C649" s="3" t="s">
        <v>1415</v>
      </c>
      <c r="D649" s="4" t="s">
        <v>1417</v>
      </c>
      <c r="E649" s="4" t="s">
        <v>1418</v>
      </c>
      <c r="F649" s="5">
        <v>0</v>
      </c>
      <c r="G649" s="6">
        <v>6</v>
      </c>
      <c r="H649" s="7">
        <v>210</v>
      </c>
      <c r="I649" s="7">
        <v>230</v>
      </c>
      <c r="J649" s="7">
        <v>230</v>
      </c>
      <c r="K649" s="7">
        <f t="shared" si="32"/>
        <v>1260</v>
      </c>
      <c r="L649" s="7">
        <f t="shared" si="33"/>
        <v>1380</v>
      </c>
      <c r="M649" s="14">
        <f t="shared" si="31"/>
        <v>1380</v>
      </c>
    </row>
    <row r="650" spans="1:13" x14ac:dyDescent="0.35">
      <c r="A650" s="3" t="s">
        <v>1411</v>
      </c>
      <c r="B650" s="3" t="s">
        <v>1415</v>
      </c>
      <c r="C650" s="3" t="s">
        <v>1415</v>
      </c>
      <c r="D650" s="4" t="s">
        <v>1423</v>
      </c>
      <c r="E650" s="4" t="s">
        <v>1424</v>
      </c>
      <c r="F650" s="5">
        <v>2.5</v>
      </c>
      <c r="G650" s="6">
        <v>6</v>
      </c>
      <c r="H650" s="7">
        <v>330</v>
      </c>
      <c r="I650" s="7">
        <v>400</v>
      </c>
      <c r="J650" s="7">
        <v>420</v>
      </c>
      <c r="K650" s="7">
        <f t="shared" si="32"/>
        <v>1980</v>
      </c>
      <c r="L650" s="7">
        <f t="shared" si="33"/>
        <v>2400</v>
      </c>
      <c r="M650" s="14">
        <f t="shared" si="31"/>
        <v>2520</v>
      </c>
    </row>
    <row r="651" spans="1:13" x14ac:dyDescent="0.35">
      <c r="A651" s="3" t="s">
        <v>1411</v>
      </c>
      <c r="B651" s="3" t="s">
        <v>1415</v>
      </c>
      <c r="C651" s="3" t="s">
        <v>1415</v>
      </c>
      <c r="D651" s="4" t="s">
        <v>1419</v>
      </c>
      <c r="E651" s="4" t="s">
        <v>1420</v>
      </c>
      <c r="F651" s="5">
        <v>1</v>
      </c>
      <c r="G651" s="6">
        <v>9</v>
      </c>
      <c r="H651" s="7">
        <v>273.5</v>
      </c>
      <c r="I651" s="7">
        <v>300</v>
      </c>
      <c r="J651" s="7">
        <v>300</v>
      </c>
      <c r="K651" s="7">
        <f t="shared" si="32"/>
        <v>2461.5</v>
      </c>
      <c r="L651" s="7">
        <f t="shared" si="33"/>
        <v>2700</v>
      </c>
      <c r="M651" s="14">
        <f t="shared" si="31"/>
        <v>2700</v>
      </c>
    </row>
    <row r="652" spans="1:13" x14ac:dyDescent="0.35">
      <c r="A652" s="3" t="s">
        <v>1372</v>
      </c>
      <c r="B652" s="3" t="s">
        <v>1865</v>
      </c>
      <c r="C652" s="3" t="s">
        <v>1374</v>
      </c>
      <c r="D652" s="4" t="s">
        <v>1375</v>
      </c>
      <c r="E652" s="4" t="s">
        <v>1376</v>
      </c>
      <c r="F652" s="5">
        <v>0</v>
      </c>
      <c r="G652" s="6">
        <v>0</v>
      </c>
      <c r="H652" s="7">
        <v>270</v>
      </c>
      <c r="I652" s="7">
        <v>280</v>
      </c>
      <c r="J652" s="7">
        <v>300</v>
      </c>
      <c r="K652" s="7">
        <f t="shared" si="32"/>
        <v>0</v>
      </c>
      <c r="L652" s="7">
        <f t="shared" si="33"/>
        <v>0</v>
      </c>
      <c r="M652" s="14">
        <f t="shared" ref="M652:M715" si="34">J652*G652</f>
        <v>0</v>
      </c>
    </row>
    <row r="653" spans="1:13" x14ac:dyDescent="0.35">
      <c r="A653" s="3" t="s">
        <v>529</v>
      </c>
      <c r="B653" s="11" t="s">
        <v>1826</v>
      </c>
      <c r="C653" s="3" t="s">
        <v>569</v>
      </c>
      <c r="D653" s="4" t="s">
        <v>590</v>
      </c>
      <c r="E653" s="4" t="s">
        <v>591</v>
      </c>
      <c r="F653" s="5">
        <v>0.13</v>
      </c>
      <c r="G653" s="10">
        <v>2</v>
      </c>
      <c r="H653" s="7">
        <v>395</v>
      </c>
      <c r="I653" s="7">
        <v>420</v>
      </c>
      <c r="J653" s="7">
        <v>420</v>
      </c>
      <c r="K653" s="7">
        <f t="shared" si="32"/>
        <v>790</v>
      </c>
      <c r="L653" s="7">
        <f t="shared" si="33"/>
        <v>840</v>
      </c>
      <c r="M653" s="14">
        <f t="shared" si="34"/>
        <v>840</v>
      </c>
    </row>
    <row r="654" spans="1:13" x14ac:dyDescent="0.35">
      <c r="A654" s="3" t="s">
        <v>529</v>
      </c>
      <c r="B654" s="11" t="s">
        <v>1826</v>
      </c>
      <c r="C654" s="3" t="s">
        <v>569</v>
      </c>
      <c r="D654" s="4" t="s">
        <v>581</v>
      </c>
      <c r="E654" s="4" t="s">
        <v>582</v>
      </c>
      <c r="F654" s="5">
        <v>0.1</v>
      </c>
      <c r="G654" s="10">
        <v>5</v>
      </c>
      <c r="H654" s="7">
        <v>106.67</v>
      </c>
      <c r="I654" s="7">
        <v>120</v>
      </c>
      <c r="J654" s="7">
        <v>120</v>
      </c>
      <c r="K654" s="7">
        <f t="shared" si="32"/>
        <v>533.35</v>
      </c>
      <c r="L654" s="7">
        <f t="shared" si="33"/>
        <v>600</v>
      </c>
      <c r="M654" s="14">
        <f t="shared" si="34"/>
        <v>600</v>
      </c>
    </row>
    <row r="655" spans="1:13" x14ac:dyDescent="0.35">
      <c r="A655" s="3" t="s">
        <v>529</v>
      </c>
      <c r="B655" s="11" t="s">
        <v>1826</v>
      </c>
      <c r="C655" s="3" t="s">
        <v>569</v>
      </c>
      <c r="D655" s="4" t="s">
        <v>583</v>
      </c>
      <c r="E655" s="4" t="s">
        <v>584</v>
      </c>
      <c r="F655" s="5">
        <v>0.13</v>
      </c>
      <c r="G655" s="10">
        <v>5</v>
      </c>
      <c r="H655" s="7">
        <v>140.5</v>
      </c>
      <c r="I655" s="7">
        <v>150</v>
      </c>
      <c r="J655" s="7">
        <v>150</v>
      </c>
      <c r="K655" s="7">
        <f t="shared" si="32"/>
        <v>702.5</v>
      </c>
      <c r="L655" s="7">
        <f t="shared" si="33"/>
        <v>750</v>
      </c>
      <c r="M655" s="14">
        <f t="shared" si="34"/>
        <v>750</v>
      </c>
    </row>
    <row r="656" spans="1:13" x14ac:dyDescent="0.35">
      <c r="A656" s="3" t="s">
        <v>529</v>
      </c>
      <c r="B656" s="11" t="s">
        <v>1826</v>
      </c>
      <c r="C656" s="3" t="s">
        <v>569</v>
      </c>
      <c r="D656" s="4" t="s">
        <v>578</v>
      </c>
      <c r="E656" s="4" t="s">
        <v>579</v>
      </c>
      <c r="F656" s="5">
        <v>0.17</v>
      </c>
      <c r="G656" s="10">
        <v>9</v>
      </c>
      <c r="H656" s="7">
        <v>163.63</v>
      </c>
      <c r="I656" s="7">
        <v>175</v>
      </c>
      <c r="J656" s="7">
        <v>180</v>
      </c>
      <c r="K656" s="7">
        <f t="shared" si="32"/>
        <v>1472.67</v>
      </c>
      <c r="L656" s="7">
        <f t="shared" si="33"/>
        <v>1575</v>
      </c>
      <c r="M656" s="14">
        <f t="shared" si="34"/>
        <v>1620</v>
      </c>
    </row>
    <row r="657" spans="1:13" x14ac:dyDescent="0.35">
      <c r="A657" s="3" t="s">
        <v>529</v>
      </c>
      <c r="B657" s="11" t="s">
        <v>1826</v>
      </c>
      <c r="C657" s="3" t="s">
        <v>569</v>
      </c>
      <c r="D657" s="4" t="s">
        <v>585</v>
      </c>
      <c r="E657" s="4" t="s">
        <v>586</v>
      </c>
      <c r="F657" s="5">
        <v>0.13</v>
      </c>
      <c r="G657" s="10">
        <v>11</v>
      </c>
      <c r="H657" s="7">
        <v>134</v>
      </c>
      <c r="I657" s="7">
        <v>150</v>
      </c>
      <c r="J657" s="7">
        <v>150</v>
      </c>
      <c r="K657" s="7">
        <f t="shared" si="32"/>
        <v>1474</v>
      </c>
      <c r="L657" s="7">
        <f t="shared" si="33"/>
        <v>1650</v>
      </c>
      <c r="M657" s="14">
        <f t="shared" si="34"/>
        <v>1650</v>
      </c>
    </row>
    <row r="658" spans="1:13" x14ac:dyDescent="0.35">
      <c r="A658" s="3" t="s">
        <v>705</v>
      </c>
      <c r="B658" s="3" t="s">
        <v>1826</v>
      </c>
      <c r="C658" s="3" t="s">
        <v>706</v>
      </c>
      <c r="D658" s="4" t="s">
        <v>717</v>
      </c>
      <c r="E658" s="4" t="s">
        <v>718</v>
      </c>
      <c r="F658" s="5">
        <v>0.18</v>
      </c>
      <c r="G658" s="10">
        <v>1</v>
      </c>
      <c r="H658" s="7">
        <v>172</v>
      </c>
      <c r="I658" s="7">
        <v>190</v>
      </c>
      <c r="J658" s="7">
        <v>190</v>
      </c>
      <c r="K658" s="7">
        <f t="shared" si="32"/>
        <v>172</v>
      </c>
      <c r="L658" s="7">
        <f t="shared" si="33"/>
        <v>190</v>
      </c>
      <c r="M658" s="14">
        <f t="shared" si="34"/>
        <v>190</v>
      </c>
    </row>
    <row r="659" spans="1:13" x14ac:dyDescent="0.35">
      <c r="A659" s="3" t="s">
        <v>705</v>
      </c>
      <c r="B659" s="3" t="s">
        <v>1826</v>
      </c>
      <c r="C659" s="3" t="s">
        <v>706</v>
      </c>
      <c r="D659" s="4" t="s">
        <v>713</v>
      </c>
      <c r="E659" s="4" t="s">
        <v>714</v>
      </c>
      <c r="F659" s="5">
        <v>0.11</v>
      </c>
      <c r="G659" s="10">
        <v>2</v>
      </c>
      <c r="H659" s="7">
        <v>165</v>
      </c>
      <c r="I659" s="7">
        <v>175</v>
      </c>
      <c r="J659" s="7">
        <v>175</v>
      </c>
      <c r="K659" s="7">
        <f t="shared" si="32"/>
        <v>330</v>
      </c>
      <c r="L659" s="7">
        <f t="shared" si="33"/>
        <v>350</v>
      </c>
      <c r="M659" s="14">
        <f t="shared" si="34"/>
        <v>350</v>
      </c>
    </row>
    <row r="660" spans="1:13" x14ac:dyDescent="0.35">
      <c r="A660" s="3" t="s">
        <v>705</v>
      </c>
      <c r="B660" s="3" t="s">
        <v>1826</v>
      </c>
      <c r="C660" s="3" t="s">
        <v>706</v>
      </c>
      <c r="D660" s="4" t="s">
        <v>719</v>
      </c>
      <c r="E660" s="4" t="s">
        <v>720</v>
      </c>
      <c r="F660" s="5">
        <v>4.4999999999999998E-2</v>
      </c>
      <c r="G660" s="10">
        <v>3</v>
      </c>
      <c r="H660" s="7">
        <v>46.17</v>
      </c>
      <c r="I660" s="7">
        <v>50</v>
      </c>
      <c r="J660" s="7">
        <v>50</v>
      </c>
      <c r="K660" s="7">
        <f t="shared" si="32"/>
        <v>138.51</v>
      </c>
      <c r="L660" s="7">
        <f t="shared" si="33"/>
        <v>150</v>
      </c>
      <c r="M660" s="14">
        <f t="shared" si="34"/>
        <v>150</v>
      </c>
    </row>
    <row r="661" spans="1:13" x14ac:dyDescent="0.35">
      <c r="A661" s="3" t="s">
        <v>705</v>
      </c>
      <c r="B661" s="3" t="s">
        <v>1826</v>
      </c>
      <c r="C661" s="3" t="s">
        <v>706</v>
      </c>
      <c r="D661" s="4" t="s">
        <v>715</v>
      </c>
      <c r="E661" s="4" t="s">
        <v>716</v>
      </c>
      <c r="F661" s="5">
        <v>0.18</v>
      </c>
      <c r="G661" s="10">
        <v>4</v>
      </c>
      <c r="H661" s="7">
        <v>172.67</v>
      </c>
      <c r="I661" s="7">
        <v>190</v>
      </c>
      <c r="J661" s="7">
        <v>200</v>
      </c>
      <c r="K661" s="7">
        <f t="shared" ref="K661:K703" si="35">H661*G661</f>
        <v>690.68</v>
      </c>
      <c r="L661" s="7">
        <f t="shared" ref="L661:L703" si="36">I661*G661</f>
        <v>760</v>
      </c>
      <c r="M661" s="14">
        <f t="shared" si="34"/>
        <v>800</v>
      </c>
    </row>
    <row r="662" spans="1:13" x14ac:dyDescent="0.35">
      <c r="A662" s="3" t="s">
        <v>705</v>
      </c>
      <c r="B662" s="3" t="s">
        <v>1826</v>
      </c>
      <c r="C662" s="3" t="s">
        <v>706</v>
      </c>
      <c r="D662" s="4" t="s">
        <v>723</v>
      </c>
      <c r="E662" s="4" t="s">
        <v>724</v>
      </c>
      <c r="F662" s="5">
        <v>0.18</v>
      </c>
      <c r="G662" s="10">
        <v>4</v>
      </c>
      <c r="H662" s="7">
        <v>93.75</v>
      </c>
      <c r="I662" s="7">
        <v>99</v>
      </c>
      <c r="J662" s="7">
        <v>100</v>
      </c>
      <c r="K662" s="7">
        <f t="shared" si="35"/>
        <v>375</v>
      </c>
      <c r="L662" s="7">
        <f t="shared" si="36"/>
        <v>396</v>
      </c>
      <c r="M662" s="14">
        <f t="shared" si="34"/>
        <v>400</v>
      </c>
    </row>
    <row r="663" spans="1:13" x14ac:dyDescent="0.35">
      <c r="A663" s="3" t="s">
        <v>705</v>
      </c>
      <c r="B663" s="3" t="s">
        <v>1826</v>
      </c>
      <c r="C663" s="3" t="s">
        <v>706</v>
      </c>
      <c r="D663" s="4" t="s">
        <v>711</v>
      </c>
      <c r="E663" s="4" t="s">
        <v>712</v>
      </c>
      <c r="F663" s="5">
        <v>3.1E-2</v>
      </c>
      <c r="G663" s="10">
        <v>7</v>
      </c>
      <c r="H663" s="7">
        <v>27.87</v>
      </c>
      <c r="I663" s="7">
        <v>30</v>
      </c>
      <c r="J663" s="7">
        <v>30</v>
      </c>
      <c r="K663" s="7">
        <f t="shared" si="35"/>
        <v>195.09</v>
      </c>
      <c r="L663" s="7">
        <f t="shared" si="36"/>
        <v>210</v>
      </c>
      <c r="M663" s="14">
        <f t="shared" si="34"/>
        <v>210</v>
      </c>
    </row>
    <row r="664" spans="1:13" x14ac:dyDescent="0.35">
      <c r="A664" s="3" t="s">
        <v>705</v>
      </c>
      <c r="B664" s="3" t="s">
        <v>1826</v>
      </c>
      <c r="C664" s="3" t="s">
        <v>706</v>
      </c>
      <c r="D664" s="4" t="s">
        <v>725</v>
      </c>
      <c r="E664" s="4" t="s">
        <v>726</v>
      </c>
      <c r="F664" s="5">
        <v>3.1E-2</v>
      </c>
      <c r="G664" s="10">
        <v>12</v>
      </c>
      <c r="H664" s="7">
        <v>32.17</v>
      </c>
      <c r="I664" s="7">
        <v>35</v>
      </c>
      <c r="J664" s="7">
        <v>35</v>
      </c>
      <c r="K664" s="7">
        <f t="shared" si="35"/>
        <v>386.04</v>
      </c>
      <c r="L664" s="7">
        <f t="shared" si="36"/>
        <v>420</v>
      </c>
      <c r="M664" s="14">
        <f t="shared" si="34"/>
        <v>420</v>
      </c>
    </row>
    <row r="665" spans="1:13" x14ac:dyDescent="0.35">
      <c r="A665" s="3" t="s">
        <v>705</v>
      </c>
      <c r="B665" s="3" t="s">
        <v>1826</v>
      </c>
      <c r="C665" s="3" t="s">
        <v>706</v>
      </c>
      <c r="D665" s="4" t="s">
        <v>721</v>
      </c>
      <c r="E665" s="4" t="s">
        <v>722</v>
      </c>
      <c r="F665" s="5">
        <v>4.4999999999999998E-2</v>
      </c>
      <c r="G665" s="10">
        <v>27</v>
      </c>
      <c r="H665" s="7">
        <v>46.21</v>
      </c>
      <c r="I665" s="7">
        <v>50</v>
      </c>
      <c r="J665" s="7">
        <v>50</v>
      </c>
      <c r="K665" s="7">
        <f t="shared" si="35"/>
        <v>1247.67</v>
      </c>
      <c r="L665" s="7">
        <f t="shared" si="36"/>
        <v>1350</v>
      </c>
      <c r="M665" s="14">
        <f t="shared" si="34"/>
        <v>1350</v>
      </c>
    </row>
    <row r="666" spans="1:13" x14ac:dyDescent="0.35">
      <c r="A666" s="3" t="s">
        <v>938</v>
      </c>
      <c r="B666" s="11" t="s">
        <v>1826</v>
      </c>
      <c r="C666" s="3" t="s">
        <v>1109</v>
      </c>
      <c r="D666" s="4" t="s">
        <v>1110</v>
      </c>
      <c r="E666" s="4" t="s">
        <v>1111</v>
      </c>
      <c r="F666" s="5">
        <v>0.1</v>
      </c>
      <c r="G666" s="6">
        <v>1</v>
      </c>
      <c r="H666" s="7">
        <v>292.5</v>
      </c>
      <c r="I666" s="7">
        <v>340</v>
      </c>
      <c r="J666" s="7">
        <v>350</v>
      </c>
      <c r="K666" s="7">
        <f t="shared" si="35"/>
        <v>292.5</v>
      </c>
      <c r="L666" s="7">
        <f t="shared" si="36"/>
        <v>340</v>
      </c>
      <c r="M666" s="14">
        <f t="shared" si="34"/>
        <v>350</v>
      </c>
    </row>
    <row r="667" spans="1:13" x14ac:dyDescent="0.35">
      <c r="A667" s="3" t="s">
        <v>938</v>
      </c>
      <c r="B667" s="11" t="s">
        <v>1826</v>
      </c>
      <c r="C667" s="3" t="s">
        <v>1109</v>
      </c>
      <c r="D667" s="4" t="s">
        <v>1114</v>
      </c>
      <c r="E667" s="4" t="s">
        <v>1115</v>
      </c>
      <c r="F667" s="5">
        <v>0.1</v>
      </c>
      <c r="G667" s="6">
        <v>1</v>
      </c>
      <c r="H667" s="7">
        <v>379</v>
      </c>
      <c r="I667" s="7">
        <v>450</v>
      </c>
      <c r="J667" s="7">
        <v>490</v>
      </c>
      <c r="K667" s="7">
        <f t="shared" si="35"/>
        <v>379</v>
      </c>
      <c r="L667" s="7">
        <f t="shared" si="36"/>
        <v>450</v>
      </c>
      <c r="M667" s="14">
        <f t="shared" si="34"/>
        <v>490</v>
      </c>
    </row>
    <row r="668" spans="1:13" x14ac:dyDescent="0.35">
      <c r="A668" s="3" t="s">
        <v>938</v>
      </c>
      <c r="B668" s="11" t="s">
        <v>1826</v>
      </c>
      <c r="C668" s="3" t="s">
        <v>1109</v>
      </c>
      <c r="D668" s="4" t="s">
        <v>1112</v>
      </c>
      <c r="E668" s="4" t="s">
        <v>1113</v>
      </c>
      <c r="F668" s="5">
        <v>0.05</v>
      </c>
      <c r="G668" s="6">
        <v>2</v>
      </c>
      <c r="H668" s="7">
        <v>232</v>
      </c>
      <c r="I668" s="7">
        <v>290</v>
      </c>
      <c r="J668" s="7">
        <v>300</v>
      </c>
      <c r="K668" s="7">
        <f t="shared" si="35"/>
        <v>464</v>
      </c>
      <c r="L668" s="7">
        <f t="shared" si="36"/>
        <v>580</v>
      </c>
      <c r="M668" s="14">
        <f t="shared" si="34"/>
        <v>600</v>
      </c>
    </row>
    <row r="669" spans="1:13" x14ac:dyDescent="0.35">
      <c r="A669" s="3" t="s">
        <v>419</v>
      </c>
      <c r="B669" s="11" t="s">
        <v>1826</v>
      </c>
      <c r="C669" s="3" t="s">
        <v>1828</v>
      </c>
      <c r="D669" s="4" t="s">
        <v>463</v>
      </c>
      <c r="E669" s="4" t="s">
        <v>464</v>
      </c>
      <c r="F669" s="5">
        <v>0.5</v>
      </c>
      <c r="G669" s="10">
        <v>2</v>
      </c>
      <c r="H669" s="7">
        <v>174</v>
      </c>
      <c r="I669" s="7">
        <v>195</v>
      </c>
      <c r="J669" s="7">
        <v>200</v>
      </c>
      <c r="K669" s="7">
        <f t="shared" si="35"/>
        <v>348</v>
      </c>
      <c r="L669" s="7">
        <f t="shared" si="36"/>
        <v>390</v>
      </c>
      <c r="M669" s="14">
        <f t="shared" si="34"/>
        <v>400</v>
      </c>
    </row>
    <row r="670" spans="1:13" x14ac:dyDescent="0.35">
      <c r="A670" s="3" t="s">
        <v>419</v>
      </c>
      <c r="B670" s="3" t="s">
        <v>1826</v>
      </c>
      <c r="C670" s="3" t="s">
        <v>421</v>
      </c>
      <c r="D670" s="4" t="s">
        <v>430</v>
      </c>
      <c r="E670" s="4" t="s">
        <v>431</v>
      </c>
      <c r="F670" s="5">
        <v>0.39</v>
      </c>
      <c r="G670" s="10">
        <v>3</v>
      </c>
      <c r="H670" s="7">
        <v>92.87</v>
      </c>
      <c r="I670" s="7">
        <v>100</v>
      </c>
      <c r="J670" s="7">
        <v>100</v>
      </c>
      <c r="K670" s="7">
        <f t="shared" si="35"/>
        <v>278.61</v>
      </c>
      <c r="L670" s="7">
        <f t="shared" si="36"/>
        <v>300</v>
      </c>
      <c r="M670" s="14">
        <f t="shared" si="34"/>
        <v>300</v>
      </c>
    </row>
    <row r="671" spans="1:13" x14ac:dyDescent="0.35">
      <c r="A671" s="3" t="s">
        <v>419</v>
      </c>
      <c r="B671" s="3" t="s">
        <v>1826</v>
      </c>
      <c r="C671" s="3" t="s">
        <v>421</v>
      </c>
      <c r="D671" s="4" t="s">
        <v>425</v>
      </c>
      <c r="E671" s="4" t="s">
        <v>424</v>
      </c>
      <c r="F671" s="5">
        <v>1</v>
      </c>
      <c r="G671" s="10">
        <v>5</v>
      </c>
      <c r="H671" s="7">
        <v>254.12</v>
      </c>
      <c r="I671" s="7">
        <v>270</v>
      </c>
      <c r="J671" s="7">
        <v>270</v>
      </c>
      <c r="K671" s="7">
        <f t="shared" si="35"/>
        <v>1270.5999999999999</v>
      </c>
      <c r="L671" s="7">
        <f t="shared" si="36"/>
        <v>1350</v>
      </c>
      <c r="M671" s="14">
        <f t="shared" si="34"/>
        <v>1350</v>
      </c>
    </row>
    <row r="672" spans="1:13" x14ac:dyDescent="0.35">
      <c r="A672" s="3" t="s">
        <v>419</v>
      </c>
      <c r="B672" s="3" t="s">
        <v>1826</v>
      </c>
      <c r="C672" s="3" t="s">
        <v>421</v>
      </c>
      <c r="D672" s="4" t="s">
        <v>426</v>
      </c>
      <c r="E672" s="4" t="s">
        <v>427</v>
      </c>
      <c r="F672" s="5">
        <v>0.185</v>
      </c>
      <c r="G672" s="10">
        <v>6</v>
      </c>
      <c r="H672" s="7">
        <v>45.83</v>
      </c>
      <c r="I672" s="7">
        <v>50</v>
      </c>
      <c r="J672" s="7">
        <v>50</v>
      </c>
      <c r="K672" s="7">
        <f t="shared" si="35"/>
        <v>274.98</v>
      </c>
      <c r="L672" s="7">
        <f t="shared" si="36"/>
        <v>300</v>
      </c>
      <c r="M672" s="14">
        <f t="shared" si="34"/>
        <v>300</v>
      </c>
    </row>
    <row r="673" spans="1:13" x14ac:dyDescent="0.35">
      <c r="A673" s="3" t="s">
        <v>419</v>
      </c>
      <c r="B673" s="3" t="s">
        <v>1826</v>
      </c>
      <c r="C673" s="3" t="s">
        <v>421</v>
      </c>
      <c r="D673" s="4" t="s">
        <v>422</v>
      </c>
      <c r="E673" s="4" t="s">
        <v>423</v>
      </c>
      <c r="F673" s="5">
        <v>2.5000000000000001E-2</v>
      </c>
      <c r="G673" s="10">
        <v>10</v>
      </c>
      <c r="H673" s="7">
        <v>9</v>
      </c>
      <c r="I673" s="7">
        <v>10</v>
      </c>
      <c r="J673" s="7">
        <v>10</v>
      </c>
      <c r="K673" s="7">
        <f t="shared" si="35"/>
        <v>90</v>
      </c>
      <c r="L673" s="7">
        <f t="shared" si="36"/>
        <v>100</v>
      </c>
      <c r="M673" s="14">
        <f t="shared" si="34"/>
        <v>100</v>
      </c>
    </row>
    <row r="674" spans="1:13" x14ac:dyDescent="0.35">
      <c r="A674" s="3" t="s">
        <v>419</v>
      </c>
      <c r="B674" s="3" t="s">
        <v>1826</v>
      </c>
      <c r="C674" s="3" t="s">
        <v>421</v>
      </c>
      <c r="D674" s="4" t="s">
        <v>428</v>
      </c>
      <c r="E674" s="4" t="s">
        <v>429</v>
      </c>
      <c r="F674" s="5">
        <v>0.185</v>
      </c>
      <c r="G674" s="10">
        <v>26</v>
      </c>
      <c r="H674" s="7">
        <v>47</v>
      </c>
      <c r="I674" s="7">
        <v>50</v>
      </c>
      <c r="J674" s="7">
        <v>50</v>
      </c>
      <c r="K674" s="7">
        <f t="shared" si="35"/>
        <v>1222</v>
      </c>
      <c r="L674" s="7">
        <f t="shared" si="36"/>
        <v>1300</v>
      </c>
      <c r="M674" s="14">
        <f t="shared" si="34"/>
        <v>1300</v>
      </c>
    </row>
    <row r="675" spans="1:13" x14ac:dyDescent="0.35">
      <c r="A675" s="3" t="s">
        <v>1441</v>
      </c>
      <c r="B675" s="3" t="s">
        <v>1826</v>
      </c>
      <c r="C675" s="3" t="s">
        <v>1558</v>
      </c>
      <c r="D675" s="4" t="s">
        <v>1565</v>
      </c>
      <c r="E675" s="4" t="s">
        <v>1566</v>
      </c>
      <c r="F675" s="5">
        <v>0.185</v>
      </c>
      <c r="G675" s="6">
        <v>1</v>
      </c>
      <c r="H675" s="7">
        <v>388.5</v>
      </c>
      <c r="I675" s="7">
        <v>430</v>
      </c>
      <c r="J675" s="7">
        <v>450</v>
      </c>
      <c r="K675" s="7">
        <f t="shared" si="35"/>
        <v>388.5</v>
      </c>
      <c r="L675" s="7">
        <f t="shared" si="36"/>
        <v>430</v>
      </c>
      <c r="M675" s="14">
        <f t="shared" si="34"/>
        <v>450</v>
      </c>
    </row>
    <row r="676" spans="1:13" x14ac:dyDescent="0.35">
      <c r="A676" s="3" t="s">
        <v>1441</v>
      </c>
      <c r="B676" s="3" t="s">
        <v>1826</v>
      </c>
      <c r="C676" s="3" t="s">
        <v>1558</v>
      </c>
      <c r="D676" s="4" t="s">
        <v>1569</v>
      </c>
      <c r="E676" s="4" t="s">
        <v>1570</v>
      </c>
      <c r="F676" s="5">
        <v>0.37</v>
      </c>
      <c r="G676" s="6">
        <v>1</v>
      </c>
      <c r="H676" s="7">
        <v>639</v>
      </c>
      <c r="I676" s="7">
        <v>730</v>
      </c>
      <c r="J676" s="7">
        <v>750</v>
      </c>
      <c r="K676" s="7">
        <f t="shared" si="35"/>
        <v>639</v>
      </c>
      <c r="L676" s="7">
        <f t="shared" si="36"/>
        <v>730</v>
      </c>
      <c r="M676" s="14">
        <f t="shared" si="34"/>
        <v>750</v>
      </c>
    </row>
    <row r="677" spans="1:13" x14ac:dyDescent="0.35">
      <c r="A677" s="3" t="s">
        <v>1441</v>
      </c>
      <c r="B677" s="3" t="s">
        <v>1826</v>
      </c>
      <c r="C677" s="3" t="s">
        <v>1558</v>
      </c>
      <c r="D677" s="4" t="s">
        <v>1579</v>
      </c>
      <c r="E677" s="4" t="s">
        <v>1580</v>
      </c>
      <c r="F677" s="5">
        <v>0.37</v>
      </c>
      <c r="G677" s="6">
        <v>1</v>
      </c>
      <c r="H677" s="7">
        <v>639</v>
      </c>
      <c r="I677" s="7">
        <v>730</v>
      </c>
      <c r="J677" s="7">
        <v>750</v>
      </c>
      <c r="K677" s="7">
        <f t="shared" si="35"/>
        <v>639</v>
      </c>
      <c r="L677" s="7">
        <f t="shared" si="36"/>
        <v>730</v>
      </c>
      <c r="M677" s="14">
        <f t="shared" si="34"/>
        <v>750</v>
      </c>
    </row>
    <row r="678" spans="1:13" x14ac:dyDescent="0.35">
      <c r="A678" s="3" t="s">
        <v>1441</v>
      </c>
      <c r="B678" s="3" t="s">
        <v>1826</v>
      </c>
      <c r="C678" s="3" t="s">
        <v>1558</v>
      </c>
      <c r="D678" s="4" t="s">
        <v>1563</v>
      </c>
      <c r="E678" s="4" t="s">
        <v>1564</v>
      </c>
      <c r="F678" s="5">
        <v>380</v>
      </c>
      <c r="G678" s="6">
        <v>2</v>
      </c>
      <c r="H678" s="7">
        <v>717.5</v>
      </c>
      <c r="I678" s="7">
        <v>780</v>
      </c>
      <c r="J678" s="7">
        <v>800</v>
      </c>
      <c r="K678" s="7">
        <f t="shared" si="35"/>
        <v>1435</v>
      </c>
      <c r="L678" s="7">
        <f t="shared" si="36"/>
        <v>1560</v>
      </c>
      <c r="M678" s="14">
        <f t="shared" si="34"/>
        <v>1600</v>
      </c>
    </row>
    <row r="679" spans="1:13" x14ac:dyDescent="0.35">
      <c r="A679" s="3" t="s">
        <v>1441</v>
      </c>
      <c r="B679" s="3" t="s">
        <v>1826</v>
      </c>
      <c r="C679" s="3" t="s">
        <v>1558</v>
      </c>
      <c r="D679" s="4" t="s">
        <v>1575</v>
      </c>
      <c r="E679" s="4" t="s">
        <v>1576</v>
      </c>
      <c r="F679" s="5">
        <v>0.18</v>
      </c>
      <c r="G679" s="6">
        <v>2</v>
      </c>
      <c r="H679" s="7">
        <v>430.5</v>
      </c>
      <c r="I679" s="7">
        <v>470</v>
      </c>
      <c r="J679" s="7">
        <v>480</v>
      </c>
      <c r="K679" s="7">
        <f t="shared" si="35"/>
        <v>861</v>
      </c>
      <c r="L679" s="7">
        <f t="shared" si="36"/>
        <v>940</v>
      </c>
      <c r="M679" s="14">
        <f t="shared" si="34"/>
        <v>960</v>
      </c>
    </row>
    <row r="680" spans="1:13" x14ac:dyDescent="0.35">
      <c r="A680" s="3" t="s">
        <v>1441</v>
      </c>
      <c r="B680" s="3" t="s">
        <v>1826</v>
      </c>
      <c r="C680" s="3" t="s">
        <v>1558</v>
      </c>
      <c r="D680" s="4" t="s">
        <v>1577</v>
      </c>
      <c r="E680" s="4" t="s">
        <v>1578</v>
      </c>
      <c r="F680" s="5">
        <v>0.66</v>
      </c>
      <c r="G680" s="6">
        <v>2</v>
      </c>
      <c r="H680" s="7">
        <v>1031.5</v>
      </c>
      <c r="I680" s="7">
        <v>1250</v>
      </c>
      <c r="J680" s="7">
        <v>1300</v>
      </c>
      <c r="K680" s="7">
        <f t="shared" si="35"/>
        <v>2063</v>
      </c>
      <c r="L680" s="7">
        <f t="shared" si="36"/>
        <v>2500</v>
      </c>
      <c r="M680" s="14">
        <f t="shared" si="34"/>
        <v>2600</v>
      </c>
    </row>
    <row r="681" spans="1:13" x14ac:dyDescent="0.35">
      <c r="A681" s="3" t="s">
        <v>1441</v>
      </c>
      <c r="B681" s="3" t="s">
        <v>1826</v>
      </c>
      <c r="C681" s="3" t="s">
        <v>1558</v>
      </c>
      <c r="D681" s="4" t="s">
        <v>1573</v>
      </c>
      <c r="E681" s="4" t="s">
        <v>1574</v>
      </c>
      <c r="F681" s="5">
        <v>0.09</v>
      </c>
      <c r="G681" s="6">
        <v>3</v>
      </c>
      <c r="H681" s="7">
        <v>162</v>
      </c>
      <c r="I681" s="7">
        <v>190</v>
      </c>
      <c r="J681" s="7">
        <v>190</v>
      </c>
      <c r="K681" s="7">
        <f t="shared" si="35"/>
        <v>486</v>
      </c>
      <c r="L681" s="7">
        <f t="shared" si="36"/>
        <v>570</v>
      </c>
      <c r="M681" s="14">
        <f t="shared" si="34"/>
        <v>570</v>
      </c>
    </row>
    <row r="682" spans="1:13" x14ac:dyDescent="0.35">
      <c r="A682" s="3" t="s">
        <v>1441</v>
      </c>
      <c r="B682" s="3" t="s">
        <v>1826</v>
      </c>
      <c r="C682" s="3" t="s">
        <v>1558</v>
      </c>
      <c r="D682" s="4" t="s">
        <v>1567</v>
      </c>
      <c r="E682" s="4" t="s">
        <v>1568</v>
      </c>
      <c r="F682" s="5">
        <v>0.36</v>
      </c>
      <c r="G682" s="6">
        <v>4</v>
      </c>
      <c r="H682" s="7">
        <v>639</v>
      </c>
      <c r="I682" s="7">
        <v>730</v>
      </c>
      <c r="J682" s="7">
        <v>750</v>
      </c>
      <c r="K682" s="7">
        <f t="shared" si="35"/>
        <v>2556</v>
      </c>
      <c r="L682" s="7">
        <f t="shared" si="36"/>
        <v>2920</v>
      </c>
      <c r="M682" s="14">
        <f t="shared" si="34"/>
        <v>3000</v>
      </c>
    </row>
    <row r="683" spans="1:13" x14ac:dyDescent="0.35">
      <c r="A683" s="3" t="s">
        <v>1441</v>
      </c>
      <c r="B683" s="3" t="s">
        <v>1826</v>
      </c>
      <c r="C683" s="3" t="s">
        <v>1558</v>
      </c>
      <c r="D683" s="4" t="s">
        <v>1571</v>
      </c>
      <c r="E683" s="4" t="s">
        <v>1572</v>
      </c>
      <c r="F683" s="5">
        <v>0.185</v>
      </c>
      <c r="G683" s="6">
        <v>5</v>
      </c>
      <c r="H683" s="7">
        <v>383.33</v>
      </c>
      <c r="I683" s="7">
        <v>440</v>
      </c>
      <c r="J683" s="7">
        <v>450</v>
      </c>
      <c r="K683" s="7">
        <f t="shared" si="35"/>
        <v>1916.6499999999999</v>
      </c>
      <c r="L683" s="7">
        <f t="shared" si="36"/>
        <v>2200</v>
      </c>
      <c r="M683" s="14">
        <f t="shared" si="34"/>
        <v>2250</v>
      </c>
    </row>
    <row r="684" spans="1:13" x14ac:dyDescent="0.35">
      <c r="A684" s="3" t="s">
        <v>1441</v>
      </c>
      <c r="B684" s="3" t="s">
        <v>1826</v>
      </c>
      <c r="C684" s="3" t="s">
        <v>1558</v>
      </c>
      <c r="D684" s="4" t="s">
        <v>1561</v>
      </c>
      <c r="E684" s="4" t="s">
        <v>1562</v>
      </c>
      <c r="F684" s="5">
        <v>7.0000000000000001E-3</v>
      </c>
      <c r="G684" s="6">
        <v>7</v>
      </c>
      <c r="H684" s="7">
        <v>9.2200000000000006</v>
      </c>
      <c r="I684" s="7">
        <v>10</v>
      </c>
      <c r="J684" s="7">
        <v>10</v>
      </c>
      <c r="K684" s="7">
        <f t="shared" si="35"/>
        <v>64.540000000000006</v>
      </c>
      <c r="L684" s="7">
        <f t="shared" si="36"/>
        <v>70</v>
      </c>
      <c r="M684" s="14">
        <f t="shared" si="34"/>
        <v>70</v>
      </c>
    </row>
    <row r="685" spans="1:13" x14ac:dyDescent="0.35">
      <c r="A685" s="3" t="s">
        <v>1441</v>
      </c>
      <c r="B685" s="3" t="s">
        <v>1826</v>
      </c>
      <c r="C685" s="3" t="s">
        <v>1558</v>
      </c>
      <c r="D685" s="4" t="s">
        <v>1559</v>
      </c>
      <c r="E685" s="4" t="s">
        <v>1560</v>
      </c>
      <c r="F685" s="5">
        <v>4.0000000000000001E-3</v>
      </c>
      <c r="G685" s="6">
        <v>32</v>
      </c>
      <c r="H685" s="7">
        <v>4.5999999999999996</v>
      </c>
      <c r="I685" s="7">
        <v>5</v>
      </c>
      <c r="J685" s="7">
        <v>5</v>
      </c>
      <c r="K685" s="7">
        <f t="shared" si="35"/>
        <v>147.19999999999999</v>
      </c>
      <c r="L685" s="7">
        <f t="shared" si="36"/>
        <v>160</v>
      </c>
      <c r="M685" s="14">
        <f t="shared" si="34"/>
        <v>160</v>
      </c>
    </row>
    <row r="686" spans="1:13" x14ac:dyDescent="0.35">
      <c r="A686" s="3" t="s">
        <v>1441</v>
      </c>
      <c r="B686" s="3" t="s">
        <v>1826</v>
      </c>
      <c r="C686" s="3" t="s">
        <v>1558</v>
      </c>
      <c r="D686" s="4" t="s">
        <v>1581</v>
      </c>
      <c r="E686" s="4" t="s">
        <v>1582</v>
      </c>
      <c r="F686" s="5">
        <v>4.0000000000000001E-3</v>
      </c>
      <c r="G686" s="6">
        <v>32</v>
      </c>
      <c r="H686" s="7">
        <v>4.59</v>
      </c>
      <c r="I686" s="7">
        <v>5</v>
      </c>
      <c r="J686" s="7">
        <v>5</v>
      </c>
      <c r="K686" s="7">
        <f t="shared" si="35"/>
        <v>146.88</v>
      </c>
      <c r="L686" s="7">
        <f t="shared" si="36"/>
        <v>160</v>
      </c>
      <c r="M686" s="14">
        <f t="shared" si="34"/>
        <v>160</v>
      </c>
    </row>
    <row r="687" spans="1:13" x14ac:dyDescent="0.35">
      <c r="A687" s="3" t="s">
        <v>419</v>
      </c>
      <c r="B687" s="11" t="s">
        <v>1826</v>
      </c>
      <c r="C687" s="3" t="s">
        <v>442</v>
      </c>
      <c r="D687" s="4" t="s">
        <v>443</v>
      </c>
      <c r="E687" s="4" t="s">
        <v>444</v>
      </c>
      <c r="F687" s="5">
        <v>0.2</v>
      </c>
      <c r="G687" s="10">
        <v>1</v>
      </c>
      <c r="H687" s="7">
        <v>227.5</v>
      </c>
      <c r="I687" s="7">
        <v>250</v>
      </c>
      <c r="J687" s="7">
        <v>250</v>
      </c>
      <c r="K687" s="7">
        <f t="shared" si="35"/>
        <v>227.5</v>
      </c>
      <c r="L687" s="7">
        <f t="shared" si="36"/>
        <v>250</v>
      </c>
      <c r="M687" s="14">
        <f t="shared" si="34"/>
        <v>250</v>
      </c>
    </row>
    <row r="688" spans="1:13" x14ac:dyDescent="0.35">
      <c r="A688" s="3" t="s">
        <v>419</v>
      </c>
      <c r="B688" s="11" t="s">
        <v>1826</v>
      </c>
      <c r="C688" s="3" t="s">
        <v>442</v>
      </c>
      <c r="D688" s="4" t="s">
        <v>447</v>
      </c>
      <c r="E688" s="4" t="s">
        <v>448</v>
      </c>
      <c r="F688" s="5">
        <v>1</v>
      </c>
      <c r="G688" s="10">
        <v>1</v>
      </c>
      <c r="H688" s="7">
        <v>348.5</v>
      </c>
      <c r="I688" s="7">
        <v>390</v>
      </c>
      <c r="J688" s="7">
        <v>400</v>
      </c>
      <c r="K688" s="7">
        <f t="shared" si="35"/>
        <v>348.5</v>
      </c>
      <c r="L688" s="7">
        <f t="shared" si="36"/>
        <v>390</v>
      </c>
      <c r="M688" s="14">
        <f t="shared" si="34"/>
        <v>400</v>
      </c>
    </row>
    <row r="689" spans="1:13" x14ac:dyDescent="0.35">
      <c r="A689" s="3" t="s">
        <v>1583</v>
      </c>
      <c r="B689" s="3" t="s">
        <v>1843</v>
      </c>
      <c r="C689" s="3" t="s">
        <v>1584</v>
      </c>
      <c r="D689" s="4" t="s">
        <v>1585</v>
      </c>
      <c r="E689" s="4" t="s">
        <v>1586</v>
      </c>
      <c r="F689" s="5">
        <v>0</v>
      </c>
      <c r="G689" s="6">
        <v>6</v>
      </c>
      <c r="H689" s="7">
        <v>200</v>
      </c>
      <c r="I689" s="7">
        <v>230</v>
      </c>
      <c r="J689" s="7">
        <v>250</v>
      </c>
      <c r="K689" s="7">
        <f t="shared" si="35"/>
        <v>1200</v>
      </c>
      <c r="L689" s="7">
        <f t="shared" si="36"/>
        <v>1380</v>
      </c>
      <c r="M689" s="14">
        <f t="shared" si="34"/>
        <v>1500</v>
      </c>
    </row>
    <row r="690" spans="1:13" x14ac:dyDescent="0.35">
      <c r="A690" s="3" t="s">
        <v>1583</v>
      </c>
      <c r="B690" s="3" t="s">
        <v>1843</v>
      </c>
      <c r="C690" s="3" t="s">
        <v>1584</v>
      </c>
      <c r="D690" s="4" t="s">
        <v>1587</v>
      </c>
      <c r="E690" s="4" t="s">
        <v>1588</v>
      </c>
      <c r="F690" s="5">
        <v>0</v>
      </c>
      <c r="G690" s="6">
        <v>5</v>
      </c>
      <c r="H690" s="7">
        <v>680</v>
      </c>
      <c r="I690" s="7">
        <v>750</v>
      </c>
      <c r="J690" s="7">
        <v>750</v>
      </c>
      <c r="K690" s="7">
        <f t="shared" si="35"/>
        <v>3400</v>
      </c>
      <c r="L690" s="7">
        <f t="shared" si="36"/>
        <v>3750</v>
      </c>
      <c r="M690" s="14">
        <f t="shared" si="34"/>
        <v>3750</v>
      </c>
    </row>
    <row r="691" spans="1:13" x14ac:dyDescent="0.35">
      <c r="A691" s="3" t="s">
        <v>1583</v>
      </c>
      <c r="B691" s="3" t="s">
        <v>1843</v>
      </c>
      <c r="C691" s="3" t="s">
        <v>1589</v>
      </c>
      <c r="D691" s="4" t="s">
        <v>1590</v>
      </c>
      <c r="E691" s="4" t="s">
        <v>1591</v>
      </c>
      <c r="F691" s="5">
        <v>0</v>
      </c>
      <c r="G691" s="6">
        <v>1</v>
      </c>
      <c r="H691" s="7">
        <v>188</v>
      </c>
      <c r="I691" s="7">
        <v>220</v>
      </c>
      <c r="J691" s="7">
        <v>230</v>
      </c>
      <c r="K691" s="7">
        <f t="shared" si="35"/>
        <v>188</v>
      </c>
      <c r="L691" s="7">
        <f t="shared" si="36"/>
        <v>220</v>
      </c>
      <c r="M691" s="14">
        <f t="shared" si="34"/>
        <v>230</v>
      </c>
    </row>
    <row r="692" spans="1:13" x14ac:dyDescent="0.35">
      <c r="A692" s="3" t="s">
        <v>1583</v>
      </c>
      <c r="B692" s="3" t="s">
        <v>1843</v>
      </c>
      <c r="C692" s="3" t="s">
        <v>1589</v>
      </c>
      <c r="D692" s="4" t="s">
        <v>1592</v>
      </c>
      <c r="E692" s="4" t="s">
        <v>1591</v>
      </c>
      <c r="F692" s="5">
        <v>0</v>
      </c>
      <c r="G692" s="6">
        <v>2</v>
      </c>
      <c r="H692" s="7">
        <v>188</v>
      </c>
      <c r="I692" s="7">
        <v>220</v>
      </c>
      <c r="J692" s="7">
        <v>230</v>
      </c>
      <c r="K692" s="7">
        <f t="shared" si="35"/>
        <v>376</v>
      </c>
      <c r="L692" s="7">
        <f t="shared" si="36"/>
        <v>440</v>
      </c>
      <c r="M692" s="14">
        <f t="shared" si="34"/>
        <v>460</v>
      </c>
    </row>
    <row r="693" spans="1:13" x14ac:dyDescent="0.35">
      <c r="A693" s="3" t="s">
        <v>1583</v>
      </c>
      <c r="B693" s="3" t="s">
        <v>1843</v>
      </c>
      <c r="C693" s="3" t="s">
        <v>1589</v>
      </c>
      <c r="D693" s="4" t="s">
        <v>1593</v>
      </c>
      <c r="E693" s="4" t="s">
        <v>1594</v>
      </c>
      <c r="F693" s="5">
        <v>0</v>
      </c>
      <c r="G693" s="6">
        <v>5</v>
      </c>
      <c r="H693" s="7">
        <v>65</v>
      </c>
      <c r="I693" s="7">
        <v>90</v>
      </c>
      <c r="J693" s="7">
        <v>100</v>
      </c>
      <c r="K693" s="7">
        <f t="shared" si="35"/>
        <v>325</v>
      </c>
      <c r="L693" s="7">
        <f t="shared" si="36"/>
        <v>450</v>
      </c>
      <c r="M693" s="14">
        <f t="shared" si="34"/>
        <v>500</v>
      </c>
    </row>
    <row r="694" spans="1:13" x14ac:dyDescent="0.35">
      <c r="A694" s="3" t="s">
        <v>1583</v>
      </c>
      <c r="B694" s="3" t="s">
        <v>1843</v>
      </c>
      <c r="C694" s="3" t="s">
        <v>1589</v>
      </c>
      <c r="D694" s="4" t="s">
        <v>1595</v>
      </c>
      <c r="E694" s="4" t="s">
        <v>1596</v>
      </c>
      <c r="F694" s="5">
        <v>0</v>
      </c>
      <c r="G694" s="6">
        <v>2</v>
      </c>
      <c r="H694" s="7">
        <v>185</v>
      </c>
      <c r="I694" s="7">
        <v>210</v>
      </c>
      <c r="J694" s="7">
        <v>210</v>
      </c>
      <c r="K694" s="7">
        <f t="shared" si="35"/>
        <v>370</v>
      </c>
      <c r="L694" s="7">
        <f t="shared" si="36"/>
        <v>420</v>
      </c>
      <c r="M694" s="14">
        <f t="shared" si="34"/>
        <v>420</v>
      </c>
    </row>
    <row r="695" spans="1:13" x14ac:dyDescent="0.35">
      <c r="A695" s="3" t="s">
        <v>1583</v>
      </c>
      <c r="B695" s="3" t="s">
        <v>1843</v>
      </c>
      <c r="C695" s="3" t="s">
        <v>1589</v>
      </c>
      <c r="D695" s="4" t="s">
        <v>1597</v>
      </c>
      <c r="E695" s="4" t="s">
        <v>1598</v>
      </c>
      <c r="F695" s="5">
        <v>0</v>
      </c>
      <c r="G695" s="6">
        <v>2</v>
      </c>
      <c r="H695" s="7">
        <v>130</v>
      </c>
      <c r="I695" s="7">
        <v>150</v>
      </c>
      <c r="J695" s="7">
        <v>150</v>
      </c>
      <c r="K695" s="7">
        <f t="shared" si="35"/>
        <v>260</v>
      </c>
      <c r="L695" s="7">
        <f t="shared" si="36"/>
        <v>300</v>
      </c>
      <c r="M695" s="14">
        <f t="shared" si="34"/>
        <v>300</v>
      </c>
    </row>
    <row r="696" spans="1:13" x14ac:dyDescent="0.35">
      <c r="A696" s="3" t="s">
        <v>1583</v>
      </c>
      <c r="B696" s="3" t="s">
        <v>1843</v>
      </c>
      <c r="C696" s="3" t="s">
        <v>1599</v>
      </c>
      <c r="D696" s="4" t="s">
        <v>1600</v>
      </c>
      <c r="E696" s="4" t="s">
        <v>1601</v>
      </c>
      <c r="F696" s="5">
        <v>0</v>
      </c>
      <c r="G696" s="6">
        <v>2</v>
      </c>
      <c r="H696" s="7">
        <v>227</v>
      </c>
      <c r="I696" s="7">
        <v>260</v>
      </c>
      <c r="J696" s="7">
        <v>275</v>
      </c>
      <c r="K696" s="7">
        <f t="shared" si="35"/>
        <v>454</v>
      </c>
      <c r="L696" s="7">
        <f t="shared" si="36"/>
        <v>520</v>
      </c>
      <c r="M696" s="14">
        <f t="shared" si="34"/>
        <v>550</v>
      </c>
    </row>
    <row r="697" spans="1:13" x14ac:dyDescent="0.35">
      <c r="A697" s="3" t="s">
        <v>1411</v>
      </c>
      <c r="B697" s="3" t="s">
        <v>1847</v>
      </c>
      <c r="C697" s="3" t="s">
        <v>1438</v>
      </c>
      <c r="D697" s="4" t="s">
        <v>1439</v>
      </c>
      <c r="E697" s="4" t="s">
        <v>1440</v>
      </c>
      <c r="F697" s="5">
        <v>7.4999999999999997E-2</v>
      </c>
      <c r="G697" s="6">
        <v>1</v>
      </c>
      <c r="H697" s="7">
        <v>212.5</v>
      </c>
      <c r="I697" s="7">
        <v>280</v>
      </c>
      <c r="J697" s="7">
        <v>300</v>
      </c>
      <c r="K697" s="7">
        <f t="shared" si="35"/>
        <v>212.5</v>
      </c>
      <c r="L697" s="7">
        <f t="shared" si="36"/>
        <v>280</v>
      </c>
      <c r="M697" s="14">
        <f t="shared" si="34"/>
        <v>300</v>
      </c>
    </row>
    <row r="698" spans="1:13" x14ac:dyDescent="0.35">
      <c r="A698" s="3" t="s">
        <v>1583</v>
      </c>
      <c r="B698" s="3" t="s">
        <v>1847</v>
      </c>
      <c r="C698" s="3" t="s">
        <v>1602</v>
      </c>
      <c r="D698" s="4" t="s">
        <v>1603</v>
      </c>
      <c r="E698" s="4" t="s">
        <v>1604</v>
      </c>
      <c r="F698" s="5">
        <v>0.08</v>
      </c>
      <c r="G698" s="6">
        <v>1</v>
      </c>
      <c r="H698" s="7">
        <v>110</v>
      </c>
      <c r="I698" s="7">
        <v>130</v>
      </c>
      <c r="J698" s="7">
        <v>140</v>
      </c>
      <c r="K698" s="7">
        <f t="shared" si="35"/>
        <v>110</v>
      </c>
      <c r="L698" s="7">
        <f t="shared" si="36"/>
        <v>130</v>
      </c>
      <c r="M698" s="14">
        <f t="shared" si="34"/>
        <v>140</v>
      </c>
    </row>
    <row r="699" spans="1:13" x14ac:dyDescent="0.35">
      <c r="A699" s="3" t="s">
        <v>1583</v>
      </c>
      <c r="B699" s="3" t="s">
        <v>1847</v>
      </c>
      <c r="C699" s="3" t="s">
        <v>1602</v>
      </c>
      <c r="D699" s="4" t="s">
        <v>1605</v>
      </c>
      <c r="E699" s="4" t="s">
        <v>1606</v>
      </c>
      <c r="F699" s="5">
        <v>0.13</v>
      </c>
      <c r="G699" s="6">
        <v>3</v>
      </c>
      <c r="H699" s="7">
        <v>132.5</v>
      </c>
      <c r="I699" s="7">
        <v>150</v>
      </c>
      <c r="J699" s="7">
        <v>150</v>
      </c>
      <c r="K699" s="7">
        <f t="shared" si="35"/>
        <v>397.5</v>
      </c>
      <c r="L699" s="7">
        <f t="shared" si="36"/>
        <v>450</v>
      </c>
      <c r="M699" s="14">
        <f t="shared" si="34"/>
        <v>450</v>
      </c>
    </row>
    <row r="700" spans="1:13" x14ac:dyDescent="0.35">
      <c r="A700" s="3" t="s">
        <v>1372</v>
      </c>
      <c r="B700" s="3" t="s">
        <v>1865</v>
      </c>
      <c r="C700" s="3" t="s">
        <v>1374</v>
      </c>
      <c r="D700" s="4" t="s">
        <v>1379</v>
      </c>
      <c r="E700" s="4" t="s">
        <v>1380</v>
      </c>
      <c r="F700" s="5">
        <v>0</v>
      </c>
      <c r="G700" s="6">
        <v>0</v>
      </c>
      <c r="H700" s="7">
        <v>455</v>
      </c>
      <c r="I700" s="7">
        <v>550</v>
      </c>
      <c r="J700" s="7">
        <v>550</v>
      </c>
      <c r="K700" s="7">
        <f t="shared" si="35"/>
        <v>0</v>
      </c>
      <c r="L700" s="7">
        <f t="shared" si="36"/>
        <v>0</v>
      </c>
      <c r="M700" s="14">
        <f t="shared" si="34"/>
        <v>0</v>
      </c>
    </row>
    <row r="701" spans="1:13" x14ac:dyDescent="0.35">
      <c r="A701" s="3" t="s">
        <v>1411</v>
      </c>
      <c r="B701" s="3" t="s">
        <v>1866</v>
      </c>
      <c r="C701" s="3" t="s">
        <v>1435</v>
      </c>
      <c r="D701" s="4" t="s">
        <v>1436</v>
      </c>
      <c r="E701" s="4" t="s">
        <v>1437</v>
      </c>
      <c r="F701" s="5">
        <v>0</v>
      </c>
      <c r="G701" s="6">
        <v>27</v>
      </c>
      <c r="H701" s="7">
        <v>39.200000000000003</v>
      </c>
      <c r="I701" s="7">
        <v>45</v>
      </c>
      <c r="J701" s="7">
        <v>45</v>
      </c>
      <c r="K701" s="7">
        <f t="shared" si="35"/>
        <v>1058.4000000000001</v>
      </c>
      <c r="L701" s="7">
        <f t="shared" si="36"/>
        <v>1215</v>
      </c>
      <c r="M701" s="14">
        <f t="shared" si="34"/>
        <v>1215</v>
      </c>
    </row>
    <row r="702" spans="1:13" x14ac:dyDescent="0.35">
      <c r="A702" s="3" t="s">
        <v>1583</v>
      </c>
      <c r="B702" s="3" t="s">
        <v>1864</v>
      </c>
      <c r="C702" s="3" t="s">
        <v>508</v>
      </c>
      <c r="D702" s="4" t="s">
        <v>1607</v>
      </c>
      <c r="E702" s="4" t="s">
        <v>1608</v>
      </c>
      <c r="F702" s="5">
        <v>0</v>
      </c>
      <c r="G702" s="6">
        <v>33</v>
      </c>
      <c r="H702" s="7">
        <v>9.16</v>
      </c>
      <c r="I702" s="7">
        <v>20</v>
      </c>
      <c r="J702" s="7">
        <v>20</v>
      </c>
      <c r="K702" s="7">
        <f t="shared" si="35"/>
        <v>302.28000000000003</v>
      </c>
      <c r="L702" s="7">
        <f t="shared" si="36"/>
        <v>660</v>
      </c>
      <c r="M702" s="14">
        <f t="shared" si="34"/>
        <v>660</v>
      </c>
    </row>
    <row r="703" spans="1:13" x14ac:dyDescent="0.35">
      <c r="A703" s="3" t="s">
        <v>1441</v>
      </c>
      <c r="B703" s="3" t="s">
        <v>1826</v>
      </c>
      <c r="C703" s="3" t="s">
        <v>1550</v>
      </c>
      <c r="D703" s="4" t="s">
        <v>1551</v>
      </c>
      <c r="E703" s="4" t="s">
        <v>1552</v>
      </c>
      <c r="F703" s="5">
        <v>5.0000000000000001E-3</v>
      </c>
      <c r="G703" s="6">
        <v>84</v>
      </c>
      <c r="H703" s="7">
        <v>4.24</v>
      </c>
      <c r="I703" s="7">
        <v>5</v>
      </c>
      <c r="J703" s="7">
        <v>5</v>
      </c>
      <c r="K703" s="7">
        <f t="shared" si="35"/>
        <v>356.16</v>
      </c>
      <c r="L703" s="7">
        <f t="shared" si="36"/>
        <v>420</v>
      </c>
      <c r="M703" s="14">
        <f t="shared" si="34"/>
        <v>420</v>
      </c>
    </row>
    <row r="704" spans="1:13" x14ac:dyDescent="0.35">
      <c r="A704" s="3" t="s">
        <v>1611</v>
      </c>
      <c r="B704" s="3" t="s">
        <v>1612</v>
      </c>
      <c r="C704" s="3" t="s">
        <v>1613</v>
      </c>
      <c r="D704" s="4" t="s">
        <v>1614</v>
      </c>
      <c r="E704" s="4" t="s">
        <v>248</v>
      </c>
      <c r="F704" s="5">
        <v>0</v>
      </c>
      <c r="G704" s="6">
        <v>8</v>
      </c>
      <c r="H704" s="7">
        <v>45</v>
      </c>
      <c r="I704" s="7">
        <v>60</v>
      </c>
      <c r="J704" s="7">
        <v>60</v>
      </c>
      <c r="K704" s="7">
        <f t="shared" ref="K704:K737" si="37">H704*G704</f>
        <v>360</v>
      </c>
      <c r="L704" s="7">
        <f t="shared" ref="L704:L737" si="38">I704*G704</f>
        <v>480</v>
      </c>
      <c r="M704" s="14">
        <f t="shared" si="34"/>
        <v>480</v>
      </c>
    </row>
    <row r="705" spans="1:13" x14ac:dyDescent="0.35">
      <c r="A705" s="3" t="s">
        <v>419</v>
      </c>
      <c r="B705" s="8" t="s">
        <v>1826</v>
      </c>
      <c r="C705" s="3" t="s">
        <v>442</v>
      </c>
      <c r="D705" s="4" t="s">
        <v>453</v>
      </c>
      <c r="E705" s="4" t="s">
        <v>454</v>
      </c>
      <c r="F705" s="5">
        <v>0.75</v>
      </c>
      <c r="G705" s="10">
        <v>1</v>
      </c>
      <c r="H705" s="7">
        <v>375.59</v>
      </c>
      <c r="I705" s="7">
        <v>400</v>
      </c>
      <c r="J705" s="7">
        <v>400</v>
      </c>
      <c r="K705" s="7">
        <f t="shared" si="37"/>
        <v>375.59</v>
      </c>
      <c r="L705" s="7">
        <f t="shared" si="38"/>
        <v>400</v>
      </c>
      <c r="M705" s="14">
        <f t="shared" si="34"/>
        <v>400</v>
      </c>
    </row>
    <row r="706" spans="1:13" x14ac:dyDescent="0.35">
      <c r="A706" s="3" t="s">
        <v>419</v>
      </c>
      <c r="B706" s="8" t="s">
        <v>1826</v>
      </c>
      <c r="C706" s="3" t="s">
        <v>442</v>
      </c>
      <c r="D706" s="4" t="s">
        <v>461</v>
      </c>
      <c r="E706" s="4" t="s">
        <v>462</v>
      </c>
      <c r="F706" s="5">
        <v>0.5</v>
      </c>
      <c r="G706" s="10">
        <v>1</v>
      </c>
      <c r="H706" s="7">
        <v>255</v>
      </c>
      <c r="I706" s="7">
        <v>270</v>
      </c>
      <c r="J706" s="7">
        <v>275</v>
      </c>
      <c r="K706" s="7">
        <f t="shared" si="37"/>
        <v>255</v>
      </c>
      <c r="L706" s="7">
        <f t="shared" si="38"/>
        <v>270</v>
      </c>
      <c r="M706" s="14">
        <f t="shared" si="34"/>
        <v>275</v>
      </c>
    </row>
    <row r="707" spans="1:13" x14ac:dyDescent="0.35">
      <c r="A707" s="3" t="s">
        <v>419</v>
      </c>
      <c r="B707" s="8" t="s">
        <v>1826</v>
      </c>
      <c r="C707" s="3" t="s">
        <v>442</v>
      </c>
      <c r="D707" s="4" t="s">
        <v>455</v>
      </c>
      <c r="E707" s="4" t="s">
        <v>456</v>
      </c>
      <c r="F707" s="5">
        <v>0.5</v>
      </c>
      <c r="G707" s="10">
        <v>2</v>
      </c>
      <c r="H707" s="7">
        <v>270</v>
      </c>
      <c r="I707" s="7">
        <v>290</v>
      </c>
      <c r="J707" s="7">
        <v>300</v>
      </c>
      <c r="K707" s="7">
        <f t="shared" si="37"/>
        <v>540</v>
      </c>
      <c r="L707" s="7">
        <f t="shared" si="38"/>
        <v>580</v>
      </c>
      <c r="M707" s="14">
        <f t="shared" si="34"/>
        <v>600</v>
      </c>
    </row>
    <row r="708" spans="1:13" x14ac:dyDescent="0.35">
      <c r="A708" s="3" t="s">
        <v>419</v>
      </c>
      <c r="B708" s="8" t="s">
        <v>1826</v>
      </c>
      <c r="C708" s="3" t="s">
        <v>442</v>
      </c>
      <c r="D708" s="4" t="s">
        <v>457</v>
      </c>
      <c r="E708" s="4" t="s">
        <v>458</v>
      </c>
      <c r="F708" s="5">
        <v>1</v>
      </c>
      <c r="G708" s="10">
        <v>3</v>
      </c>
      <c r="H708" s="7">
        <v>535.25</v>
      </c>
      <c r="I708" s="7">
        <v>580</v>
      </c>
      <c r="J708" s="7">
        <v>600</v>
      </c>
      <c r="K708" s="7">
        <f t="shared" si="37"/>
        <v>1605.75</v>
      </c>
      <c r="L708" s="7">
        <f t="shared" si="38"/>
        <v>1740</v>
      </c>
      <c r="M708" s="14">
        <f t="shared" si="34"/>
        <v>1800</v>
      </c>
    </row>
    <row r="709" spans="1:13" x14ac:dyDescent="0.35">
      <c r="A709" s="3" t="s">
        <v>419</v>
      </c>
      <c r="B709" s="8" t="s">
        <v>1826</v>
      </c>
      <c r="C709" s="3" t="s">
        <v>442</v>
      </c>
      <c r="D709" s="4" t="s">
        <v>451</v>
      </c>
      <c r="E709" s="4" t="s">
        <v>452</v>
      </c>
      <c r="F709" s="5">
        <v>2</v>
      </c>
      <c r="G709" s="10">
        <v>9</v>
      </c>
      <c r="H709" s="7">
        <v>939</v>
      </c>
      <c r="I709" s="7">
        <v>1000</v>
      </c>
      <c r="J709" s="7">
        <v>1100</v>
      </c>
      <c r="K709" s="7">
        <f t="shared" si="37"/>
        <v>8451</v>
      </c>
      <c r="L709" s="7">
        <f t="shared" si="38"/>
        <v>9000</v>
      </c>
      <c r="M709" s="14">
        <f t="shared" si="34"/>
        <v>9900</v>
      </c>
    </row>
    <row r="710" spans="1:13" x14ac:dyDescent="0.35">
      <c r="A710" s="3" t="s">
        <v>419</v>
      </c>
      <c r="B710" s="8" t="s">
        <v>1826</v>
      </c>
      <c r="C710" s="3" t="s">
        <v>442</v>
      </c>
      <c r="D710" s="4" t="s">
        <v>459</v>
      </c>
      <c r="E710" s="4" t="s">
        <v>460</v>
      </c>
      <c r="F710" s="5">
        <v>1</v>
      </c>
      <c r="G710" s="10">
        <v>10</v>
      </c>
      <c r="H710" s="7">
        <v>493.83</v>
      </c>
      <c r="I710" s="7">
        <v>540</v>
      </c>
      <c r="J710" s="7">
        <v>550</v>
      </c>
      <c r="K710" s="7">
        <f t="shared" si="37"/>
        <v>4938.3</v>
      </c>
      <c r="L710" s="7">
        <f t="shared" si="38"/>
        <v>5400</v>
      </c>
      <c r="M710" s="14">
        <f t="shared" si="34"/>
        <v>5500</v>
      </c>
    </row>
    <row r="711" spans="1:13" x14ac:dyDescent="0.35">
      <c r="A711" s="3" t="s">
        <v>419</v>
      </c>
      <c r="B711" s="8" t="s">
        <v>1826</v>
      </c>
      <c r="C711" s="3" t="s">
        <v>442</v>
      </c>
      <c r="D711" s="4" t="s">
        <v>449</v>
      </c>
      <c r="E711" s="4" t="s">
        <v>446</v>
      </c>
      <c r="F711" s="5">
        <v>1.7999999999999999E-2</v>
      </c>
      <c r="G711" s="10">
        <v>12</v>
      </c>
      <c r="H711" s="7">
        <v>8.9450000000000003</v>
      </c>
      <c r="I711" s="7">
        <v>10</v>
      </c>
      <c r="J711" s="7">
        <v>10</v>
      </c>
      <c r="K711" s="7">
        <f t="shared" si="37"/>
        <v>107.34</v>
      </c>
      <c r="L711" s="7">
        <f t="shared" si="38"/>
        <v>120</v>
      </c>
      <c r="M711" s="14">
        <f t="shared" si="34"/>
        <v>120</v>
      </c>
    </row>
    <row r="712" spans="1:13" x14ac:dyDescent="0.35">
      <c r="A712" s="3" t="s">
        <v>419</v>
      </c>
      <c r="B712" s="8" t="s">
        <v>1826</v>
      </c>
      <c r="C712" s="3" t="s">
        <v>442</v>
      </c>
      <c r="D712" s="4" t="s">
        <v>450</v>
      </c>
      <c r="E712" s="4" t="s">
        <v>445</v>
      </c>
      <c r="F712" s="5">
        <v>0.105</v>
      </c>
      <c r="G712" s="10">
        <v>72</v>
      </c>
      <c r="H712" s="7">
        <v>43.5</v>
      </c>
      <c r="I712" s="7">
        <v>50</v>
      </c>
      <c r="J712" s="7">
        <v>50</v>
      </c>
      <c r="K712" s="7">
        <f t="shared" si="37"/>
        <v>3132</v>
      </c>
      <c r="L712" s="7">
        <f t="shared" si="38"/>
        <v>3600</v>
      </c>
      <c r="M712" s="14">
        <f t="shared" si="34"/>
        <v>3600</v>
      </c>
    </row>
    <row r="713" spans="1:13" x14ac:dyDescent="0.35">
      <c r="A713" s="3" t="s">
        <v>1611</v>
      </c>
      <c r="B713" s="8" t="s">
        <v>1826</v>
      </c>
      <c r="C713" s="3" t="s">
        <v>1634</v>
      </c>
      <c r="D713" s="4" t="s">
        <v>1637</v>
      </c>
      <c r="E713" s="4" t="s">
        <v>1638</v>
      </c>
      <c r="F713" s="5">
        <v>0.52</v>
      </c>
      <c r="G713" s="6">
        <v>2</v>
      </c>
      <c r="H713" s="7">
        <v>123.25</v>
      </c>
      <c r="I713" s="7">
        <v>140</v>
      </c>
      <c r="J713" s="7">
        <v>150</v>
      </c>
      <c r="K713" s="7">
        <f t="shared" si="37"/>
        <v>246.5</v>
      </c>
      <c r="L713" s="7">
        <f t="shared" si="38"/>
        <v>280</v>
      </c>
      <c r="M713" s="14">
        <f t="shared" si="34"/>
        <v>300</v>
      </c>
    </row>
    <row r="714" spans="1:13" x14ac:dyDescent="0.35">
      <c r="A714" s="3" t="s">
        <v>1611</v>
      </c>
      <c r="B714" s="8" t="s">
        <v>1826</v>
      </c>
      <c r="C714" s="3" t="s">
        <v>1634</v>
      </c>
      <c r="D714" s="4" t="s">
        <v>1635</v>
      </c>
      <c r="E714" s="4" t="s">
        <v>1636</v>
      </c>
      <c r="F714" s="5">
        <v>0.26</v>
      </c>
      <c r="G714" s="6">
        <v>4</v>
      </c>
      <c r="H714" s="7">
        <v>61.67</v>
      </c>
      <c r="I714" s="7">
        <v>70</v>
      </c>
      <c r="J714" s="7">
        <v>70</v>
      </c>
      <c r="K714" s="7">
        <f t="shared" si="37"/>
        <v>246.68</v>
      </c>
      <c r="L714" s="7">
        <f t="shared" si="38"/>
        <v>280</v>
      </c>
      <c r="M714" s="14">
        <f t="shared" si="34"/>
        <v>280</v>
      </c>
    </row>
    <row r="715" spans="1:13" ht="15" customHeight="1" x14ac:dyDescent="0.35">
      <c r="A715" s="3" t="s">
        <v>12</v>
      </c>
      <c r="B715" s="3" t="s">
        <v>13</v>
      </c>
      <c r="C715" s="3" t="s">
        <v>234</v>
      </c>
      <c r="D715" s="4" t="s">
        <v>239</v>
      </c>
      <c r="E715" s="4" t="s">
        <v>240</v>
      </c>
      <c r="F715" s="5">
        <v>1</v>
      </c>
      <c r="G715" s="10">
        <v>170</v>
      </c>
      <c r="H715" s="7">
        <v>142</v>
      </c>
      <c r="I715" s="7">
        <v>150</v>
      </c>
      <c r="J715" s="7">
        <v>160</v>
      </c>
      <c r="K715" s="7">
        <f t="shared" si="37"/>
        <v>24140</v>
      </c>
      <c r="L715" s="7">
        <f t="shared" si="38"/>
        <v>25500</v>
      </c>
      <c r="M715" s="14">
        <f t="shared" si="34"/>
        <v>27200</v>
      </c>
    </row>
    <row r="716" spans="1:13" ht="15" customHeight="1" x14ac:dyDescent="0.35">
      <c r="A716" s="3" t="s">
        <v>1639</v>
      </c>
      <c r="B716" s="8" t="s">
        <v>1411</v>
      </c>
      <c r="C716" s="3" t="s">
        <v>1643</v>
      </c>
      <c r="D716" s="4" t="s">
        <v>1644</v>
      </c>
      <c r="E716" s="4" t="s">
        <v>1645</v>
      </c>
      <c r="F716" s="5">
        <v>0</v>
      </c>
      <c r="G716" s="6">
        <v>9</v>
      </c>
      <c r="H716" s="7">
        <v>41.66</v>
      </c>
      <c r="I716" s="7">
        <v>60</v>
      </c>
      <c r="J716" s="7">
        <v>60</v>
      </c>
      <c r="K716" s="7">
        <f t="shared" si="37"/>
        <v>374.93999999999994</v>
      </c>
      <c r="L716" s="7">
        <f t="shared" si="38"/>
        <v>540</v>
      </c>
      <c r="M716" s="14">
        <f t="shared" ref="M716:M779" si="39">J716*G716</f>
        <v>540</v>
      </c>
    </row>
    <row r="717" spans="1:13" x14ac:dyDescent="0.35">
      <c r="A717" s="3" t="s">
        <v>1639</v>
      </c>
      <c r="B717" s="8" t="s">
        <v>1411</v>
      </c>
      <c r="C717" s="3" t="s">
        <v>1643</v>
      </c>
      <c r="D717" s="4" t="s">
        <v>1646</v>
      </c>
      <c r="E717" s="4" t="s">
        <v>1647</v>
      </c>
      <c r="F717" s="5">
        <v>0</v>
      </c>
      <c r="G717" s="6">
        <v>9</v>
      </c>
      <c r="H717" s="7">
        <v>20.833300000000001</v>
      </c>
      <c r="I717" s="7">
        <v>30</v>
      </c>
      <c r="J717" s="7">
        <v>30</v>
      </c>
      <c r="K717" s="7">
        <f t="shared" si="37"/>
        <v>187.49970000000002</v>
      </c>
      <c r="L717" s="7">
        <f t="shared" si="38"/>
        <v>270</v>
      </c>
      <c r="M717" s="14">
        <f t="shared" si="39"/>
        <v>270</v>
      </c>
    </row>
    <row r="718" spans="1:13" x14ac:dyDescent="0.35">
      <c r="A718" s="3" t="s">
        <v>529</v>
      </c>
      <c r="B718" s="8" t="s">
        <v>1827</v>
      </c>
      <c r="C718" s="3" t="s">
        <v>550</v>
      </c>
      <c r="D718" s="4" t="s">
        <v>555</v>
      </c>
      <c r="E718" s="4" t="s">
        <v>556</v>
      </c>
      <c r="F718" s="5">
        <v>0</v>
      </c>
      <c r="G718" s="10">
        <v>1</v>
      </c>
      <c r="H718" s="7">
        <v>110.85</v>
      </c>
      <c r="I718" s="7">
        <v>115</v>
      </c>
      <c r="J718" s="7">
        <v>118</v>
      </c>
      <c r="K718" s="7">
        <f t="shared" si="37"/>
        <v>110.85</v>
      </c>
      <c r="L718" s="7">
        <f t="shared" si="38"/>
        <v>115</v>
      </c>
      <c r="M718" s="14">
        <f t="shared" si="39"/>
        <v>118</v>
      </c>
    </row>
    <row r="719" spans="1:13" x14ac:dyDescent="0.35">
      <c r="A719" s="3" t="s">
        <v>1639</v>
      </c>
      <c r="B719" s="8" t="s">
        <v>1827</v>
      </c>
      <c r="C719" s="3" t="s">
        <v>1648</v>
      </c>
      <c r="D719" s="4" t="s">
        <v>1655</v>
      </c>
      <c r="E719" s="4" t="s">
        <v>1656</v>
      </c>
      <c r="F719" s="5">
        <v>0.2</v>
      </c>
      <c r="G719" s="10">
        <v>1</v>
      </c>
      <c r="H719" s="7">
        <v>359.73</v>
      </c>
      <c r="I719" s="7">
        <v>390</v>
      </c>
      <c r="J719" s="7">
        <v>400</v>
      </c>
      <c r="K719" s="7">
        <f t="shared" si="37"/>
        <v>359.73</v>
      </c>
      <c r="L719" s="7">
        <f t="shared" si="38"/>
        <v>390</v>
      </c>
      <c r="M719" s="14">
        <f t="shared" si="39"/>
        <v>400</v>
      </c>
    </row>
    <row r="720" spans="1:13" x14ac:dyDescent="0.35">
      <c r="A720" s="3" t="s">
        <v>419</v>
      </c>
      <c r="B720" s="8" t="s">
        <v>1827</v>
      </c>
      <c r="C720" s="3" t="s">
        <v>432</v>
      </c>
      <c r="D720" s="4" t="s">
        <v>433</v>
      </c>
      <c r="E720" s="4" t="s">
        <v>434</v>
      </c>
      <c r="F720" s="5">
        <v>0.5</v>
      </c>
      <c r="G720" s="10">
        <v>2</v>
      </c>
      <c r="H720" s="7">
        <v>196</v>
      </c>
      <c r="I720" s="7">
        <v>210</v>
      </c>
      <c r="J720" s="7">
        <v>215</v>
      </c>
      <c r="K720" s="7">
        <f t="shared" si="37"/>
        <v>392</v>
      </c>
      <c r="L720" s="7">
        <f t="shared" si="38"/>
        <v>420</v>
      </c>
      <c r="M720" s="14">
        <f t="shared" si="39"/>
        <v>430</v>
      </c>
    </row>
    <row r="721" spans="1:13" x14ac:dyDescent="0.35">
      <c r="A721" s="3" t="s">
        <v>419</v>
      </c>
      <c r="B721" s="8" t="s">
        <v>1827</v>
      </c>
      <c r="C721" s="3" t="s">
        <v>437</v>
      </c>
      <c r="D721" s="4" t="s">
        <v>440</v>
      </c>
      <c r="E721" s="4" t="s">
        <v>441</v>
      </c>
      <c r="F721" s="5">
        <v>0.75</v>
      </c>
      <c r="G721" s="10">
        <v>2</v>
      </c>
      <c r="H721" s="7">
        <v>205.65</v>
      </c>
      <c r="I721" s="7">
        <v>225</v>
      </c>
      <c r="J721" s="7">
        <v>225</v>
      </c>
      <c r="K721" s="7">
        <f t="shared" si="37"/>
        <v>411.3</v>
      </c>
      <c r="L721" s="7">
        <f t="shared" si="38"/>
        <v>450</v>
      </c>
      <c r="M721" s="14">
        <f t="shared" si="39"/>
        <v>450</v>
      </c>
    </row>
    <row r="722" spans="1:13" x14ac:dyDescent="0.35">
      <c r="A722" s="3" t="s">
        <v>1441</v>
      </c>
      <c r="B722" s="12" t="s">
        <v>1827</v>
      </c>
      <c r="C722" s="3" t="s">
        <v>1503</v>
      </c>
      <c r="D722" s="4" t="s">
        <v>1504</v>
      </c>
      <c r="E722" s="4" t="s">
        <v>1505</v>
      </c>
      <c r="F722" s="5">
        <v>0</v>
      </c>
      <c r="G722" s="10">
        <v>2</v>
      </c>
      <c r="H722" s="7">
        <v>308.54000000000002</v>
      </c>
      <c r="I722" s="7">
        <v>360</v>
      </c>
      <c r="J722" s="7">
        <v>370</v>
      </c>
      <c r="K722" s="7">
        <f t="shared" si="37"/>
        <v>617.08000000000004</v>
      </c>
      <c r="L722" s="7">
        <f t="shared" si="38"/>
        <v>720</v>
      </c>
      <c r="M722" s="14">
        <f t="shared" si="39"/>
        <v>740</v>
      </c>
    </row>
    <row r="723" spans="1:13" x14ac:dyDescent="0.35">
      <c r="A723" s="3" t="s">
        <v>1639</v>
      </c>
      <c r="B723" s="8" t="s">
        <v>1827</v>
      </c>
      <c r="C723" s="3" t="s">
        <v>1648</v>
      </c>
      <c r="D723" s="4" t="s">
        <v>1661</v>
      </c>
      <c r="E723" s="4" t="s">
        <v>1662</v>
      </c>
      <c r="F723" s="5">
        <v>0.1</v>
      </c>
      <c r="G723" s="10">
        <v>2</v>
      </c>
      <c r="H723" s="7">
        <v>178</v>
      </c>
      <c r="I723" s="7">
        <v>190</v>
      </c>
      <c r="J723" s="7">
        <v>190</v>
      </c>
      <c r="K723" s="7">
        <f t="shared" si="37"/>
        <v>356</v>
      </c>
      <c r="L723" s="7">
        <f t="shared" si="38"/>
        <v>380</v>
      </c>
      <c r="M723" s="14">
        <f t="shared" si="39"/>
        <v>380</v>
      </c>
    </row>
    <row r="724" spans="1:13" x14ac:dyDescent="0.35">
      <c r="A724" s="3" t="s">
        <v>1639</v>
      </c>
      <c r="B724" s="8" t="s">
        <v>1827</v>
      </c>
      <c r="C724" s="3" t="s">
        <v>1648</v>
      </c>
      <c r="D724" s="4" t="s">
        <v>1663</v>
      </c>
      <c r="E724" s="4" t="s">
        <v>1664</v>
      </c>
      <c r="F724" s="5">
        <v>0.1</v>
      </c>
      <c r="G724" s="10">
        <v>2</v>
      </c>
      <c r="H724" s="7">
        <v>199.46</v>
      </c>
      <c r="I724" s="7">
        <v>210</v>
      </c>
      <c r="J724" s="7">
        <v>220</v>
      </c>
      <c r="K724" s="7">
        <f t="shared" si="37"/>
        <v>398.92</v>
      </c>
      <c r="L724" s="7">
        <f t="shared" si="38"/>
        <v>420</v>
      </c>
      <c r="M724" s="14">
        <f t="shared" si="39"/>
        <v>440</v>
      </c>
    </row>
    <row r="725" spans="1:13" x14ac:dyDescent="0.35">
      <c r="A725" s="3" t="s">
        <v>1639</v>
      </c>
      <c r="B725" s="8" t="s">
        <v>1827</v>
      </c>
      <c r="C725" s="3" t="s">
        <v>1648</v>
      </c>
      <c r="D725" s="4" t="s">
        <v>1672</v>
      </c>
      <c r="E725" s="4" t="s">
        <v>1673</v>
      </c>
      <c r="F725" s="5">
        <v>0</v>
      </c>
      <c r="G725" s="10">
        <v>2</v>
      </c>
      <c r="H725" s="7">
        <v>189.24</v>
      </c>
      <c r="I725" s="7">
        <v>200</v>
      </c>
      <c r="J725" s="7">
        <v>210</v>
      </c>
      <c r="K725" s="7">
        <f t="shared" si="37"/>
        <v>378.48</v>
      </c>
      <c r="L725" s="7">
        <f t="shared" si="38"/>
        <v>400</v>
      </c>
      <c r="M725" s="14">
        <f t="shared" si="39"/>
        <v>420</v>
      </c>
    </row>
    <row r="726" spans="1:13" x14ac:dyDescent="0.35">
      <c r="A726" s="3" t="s">
        <v>1639</v>
      </c>
      <c r="B726" s="8" t="s">
        <v>1827</v>
      </c>
      <c r="C726" s="3" t="s">
        <v>1648</v>
      </c>
      <c r="D726" s="4" t="s">
        <v>1678</v>
      </c>
      <c r="E726" s="4" t="s">
        <v>1677</v>
      </c>
      <c r="F726" s="5">
        <v>3.5000000000000003E-2</v>
      </c>
      <c r="G726" s="10">
        <v>2</v>
      </c>
      <c r="H726" s="7">
        <v>45.11</v>
      </c>
      <c r="I726" s="7">
        <v>50</v>
      </c>
      <c r="J726" s="7">
        <v>50</v>
      </c>
      <c r="K726" s="7">
        <f t="shared" si="37"/>
        <v>90.22</v>
      </c>
      <c r="L726" s="7">
        <f t="shared" si="38"/>
        <v>100</v>
      </c>
      <c r="M726" s="14">
        <f t="shared" si="39"/>
        <v>100</v>
      </c>
    </row>
    <row r="727" spans="1:13" x14ac:dyDescent="0.35">
      <c r="A727" s="3" t="s">
        <v>1639</v>
      </c>
      <c r="B727" s="8" t="s">
        <v>1827</v>
      </c>
      <c r="C727" s="3" t="s">
        <v>1648</v>
      </c>
      <c r="D727" s="4" t="s">
        <v>1679</v>
      </c>
      <c r="E727" s="4" t="s">
        <v>1680</v>
      </c>
      <c r="F727" s="5">
        <v>7.0000000000000007E-2</v>
      </c>
      <c r="G727" s="10">
        <v>2</v>
      </c>
      <c r="H727" s="7">
        <v>89.16</v>
      </c>
      <c r="I727" s="7">
        <v>100</v>
      </c>
      <c r="J727" s="7">
        <v>100</v>
      </c>
      <c r="K727" s="7">
        <f t="shared" si="37"/>
        <v>178.32</v>
      </c>
      <c r="L727" s="7">
        <f t="shared" si="38"/>
        <v>200</v>
      </c>
      <c r="M727" s="14">
        <f t="shared" si="39"/>
        <v>200</v>
      </c>
    </row>
    <row r="728" spans="1:13" x14ac:dyDescent="0.35">
      <c r="A728" s="3" t="s">
        <v>419</v>
      </c>
      <c r="B728" s="8" t="s">
        <v>1827</v>
      </c>
      <c r="C728" s="3" t="s">
        <v>437</v>
      </c>
      <c r="D728" s="4" t="s">
        <v>438</v>
      </c>
      <c r="E728" s="4" t="s">
        <v>439</v>
      </c>
      <c r="F728" s="5">
        <v>1</v>
      </c>
      <c r="G728" s="10">
        <v>3</v>
      </c>
      <c r="H728" s="7">
        <v>197.15</v>
      </c>
      <c r="I728" s="7">
        <v>225</v>
      </c>
      <c r="J728" s="7">
        <v>230</v>
      </c>
      <c r="K728" s="7">
        <f t="shared" si="37"/>
        <v>591.45000000000005</v>
      </c>
      <c r="L728" s="7">
        <f t="shared" si="38"/>
        <v>675</v>
      </c>
      <c r="M728" s="14">
        <f t="shared" si="39"/>
        <v>690</v>
      </c>
    </row>
    <row r="729" spans="1:13" x14ac:dyDescent="0.35">
      <c r="A729" s="3" t="s">
        <v>529</v>
      </c>
      <c r="B729" s="8" t="s">
        <v>1827</v>
      </c>
      <c r="C729" s="3" t="s">
        <v>550</v>
      </c>
      <c r="D729" s="4" t="s">
        <v>553</v>
      </c>
      <c r="E729" s="4" t="s">
        <v>554</v>
      </c>
      <c r="F729" s="5">
        <v>9.8000000000000004E-2</v>
      </c>
      <c r="G729" s="10">
        <v>3</v>
      </c>
      <c r="H729" s="7">
        <v>110.95</v>
      </c>
      <c r="I729" s="7">
        <v>115</v>
      </c>
      <c r="J729" s="7">
        <v>118</v>
      </c>
      <c r="K729" s="7">
        <f t="shared" si="37"/>
        <v>332.85</v>
      </c>
      <c r="L729" s="7">
        <f t="shared" si="38"/>
        <v>345</v>
      </c>
      <c r="M729" s="14">
        <f t="shared" si="39"/>
        <v>354</v>
      </c>
    </row>
    <row r="730" spans="1:13" x14ac:dyDescent="0.35">
      <c r="A730" s="3" t="s">
        <v>529</v>
      </c>
      <c r="B730" s="8" t="s">
        <v>1827</v>
      </c>
      <c r="C730" s="3" t="s">
        <v>550</v>
      </c>
      <c r="D730" s="4" t="s">
        <v>563</v>
      </c>
      <c r="E730" s="4" t="s">
        <v>558</v>
      </c>
      <c r="F730" s="5">
        <v>0.13</v>
      </c>
      <c r="G730" s="10">
        <v>3</v>
      </c>
      <c r="H730" s="7">
        <v>135.61000000000001</v>
      </c>
      <c r="I730" s="7">
        <v>145</v>
      </c>
      <c r="J730" s="7">
        <v>148</v>
      </c>
      <c r="K730" s="7">
        <f t="shared" si="37"/>
        <v>406.83000000000004</v>
      </c>
      <c r="L730" s="7">
        <f t="shared" si="38"/>
        <v>435</v>
      </c>
      <c r="M730" s="14">
        <f t="shared" si="39"/>
        <v>444</v>
      </c>
    </row>
    <row r="731" spans="1:13" x14ac:dyDescent="0.35">
      <c r="A731" s="3" t="s">
        <v>1611</v>
      </c>
      <c r="B731" s="8" t="s">
        <v>1827</v>
      </c>
      <c r="C731" s="3" t="s">
        <v>1615</v>
      </c>
      <c r="D731" s="4" t="s">
        <v>1624</v>
      </c>
      <c r="E731" s="4" t="s">
        <v>1625</v>
      </c>
      <c r="F731" s="5">
        <v>0.43</v>
      </c>
      <c r="G731" s="10">
        <v>3</v>
      </c>
      <c r="H731" s="7">
        <v>130.33000000000001</v>
      </c>
      <c r="I731" s="7">
        <v>140</v>
      </c>
      <c r="J731" s="7">
        <v>140</v>
      </c>
      <c r="K731" s="7">
        <f t="shared" si="37"/>
        <v>390.99</v>
      </c>
      <c r="L731" s="7">
        <f t="shared" si="38"/>
        <v>420</v>
      </c>
      <c r="M731" s="14">
        <f t="shared" si="39"/>
        <v>420</v>
      </c>
    </row>
    <row r="732" spans="1:13" x14ac:dyDescent="0.35">
      <c r="A732" s="3" t="s">
        <v>1639</v>
      </c>
      <c r="B732" s="8" t="s">
        <v>1827</v>
      </c>
      <c r="C732" s="3" t="s">
        <v>1648</v>
      </c>
      <c r="D732" s="4" t="s">
        <v>1666</v>
      </c>
      <c r="E732" s="4" t="s">
        <v>1667</v>
      </c>
      <c r="F732" s="5">
        <v>0</v>
      </c>
      <c r="G732" s="10">
        <v>3</v>
      </c>
      <c r="H732" s="7">
        <v>198.64</v>
      </c>
      <c r="I732" s="7">
        <v>210</v>
      </c>
      <c r="J732" s="7">
        <v>220</v>
      </c>
      <c r="K732" s="7">
        <f t="shared" si="37"/>
        <v>595.91999999999996</v>
      </c>
      <c r="L732" s="7">
        <f t="shared" si="38"/>
        <v>630</v>
      </c>
      <c r="M732" s="14">
        <f t="shared" si="39"/>
        <v>660</v>
      </c>
    </row>
    <row r="733" spans="1:13" x14ac:dyDescent="0.35">
      <c r="A733" s="3" t="s">
        <v>1639</v>
      </c>
      <c r="B733" s="8" t="s">
        <v>1827</v>
      </c>
      <c r="C733" s="3" t="s">
        <v>1648</v>
      </c>
      <c r="D733" s="4" t="s">
        <v>1668</v>
      </c>
      <c r="E733" s="4" t="s">
        <v>1669</v>
      </c>
      <c r="F733" s="5">
        <v>0</v>
      </c>
      <c r="G733" s="10">
        <v>3</v>
      </c>
      <c r="H733" s="7">
        <v>200.35</v>
      </c>
      <c r="I733" s="7">
        <v>210</v>
      </c>
      <c r="J733" s="7">
        <v>220</v>
      </c>
      <c r="K733" s="7">
        <f t="shared" si="37"/>
        <v>601.04999999999995</v>
      </c>
      <c r="L733" s="7">
        <f t="shared" si="38"/>
        <v>630</v>
      </c>
      <c r="M733" s="14">
        <f t="shared" si="39"/>
        <v>660</v>
      </c>
    </row>
    <row r="734" spans="1:13" x14ac:dyDescent="0.35">
      <c r="A734" s="3" t="s">
        <v>1639</v>
      </c>
      <c r="B734" s="8" t="s">
        <v>1827</v>
      </c>
      <c r="C734" s="3" t="s">
        <v>1648</v>
      </c>
      <c r="D734" s="4" t="s">
        <v>1670</v>
      </c>
      <c r="E734" s="4" t="s">
        <v>1671</v>
      </c>
      <c r="F734" s="5">
        <v>0</v>
      </c>
      <c r="G734" s="10">
        <v>3</v>
      </c>
      <c r="H734" s="7">
        <v>293.64</v>
      </c>
      <c r="I734" s="7">
        <v>315</v>
      </c>
      <c r="J734" s="7">
        <v>325</v>
      </c>
      <c r="K734" s="7">
        <f t="shared" si="37"/>
        <v>880.92</v>
      </c>
      <c r="L734" s="7">
        <f t="shared" si="38"/>
        <v>945</v>
      </c>
      <c r="M734" s="14">
        <f t="shared" si="39"/>
        <v>975</v>
      </c>
    </row>
    <row r="735" spans="1:13" x14ac:dyDescent="0.35">
      <c r="A735" s="3" t="s">
        <v>1639</v>
      </c>
      <c r="B735" s="8" t="s">
        <v>1827</v>
      </c>
      <c r="C735" s="3" t="s">
        <v>1648</v>
      </c>
      <c r="D735" s="4" t="s">
        <v>1683</v>
      </c>
      <c r="E735" s="4" t="s">
        <v>1684</v>
      </c>
      <c r="F735" s="5">
        <v>0.2</v>
      </c>
      <c r="G735" s="10">
        <v>3</v>
      </c>
      <c r="H735" s="7">
        <v>224.06</v>
      </c>
      <c r="I735" s="7">
        <v>240</v>
      </c>
      <c r="J735" s="7">
        <v>250</v>
      </c>
      <c r="K735" s="7">
        <f t="shared" si="37"/>
        <v>672.18000000000006</v>
      </c>
      <c r="L735" s="7">
        <f t="shared" si="38"/>
        <v>720</v>
      </c>
      <c r="M735" s="14">
        <f t="shared" si="39"/>
        <v>750</v>
      </c>
    </row>
    <row r="736" spans="1:13" x14ac:dyDescent="0.35">
      <c r="A736" s="3" t="s">
        <v>1611</v>
      </c>
      <c r="B736" s="8" t="s">
        <v>1827</v>
      </c>
      <c r="C736" s="3" t="s">
        <v>1615</v>
      </c>
      <c r="D736" s="4" t="s">
        <v>1620</v>
      </c>
      <c r="E736" s="4" t="s">
        <v>1621</v>
      </c>
      <c r="F736" s="5">
        <v>0.2</v>
      </c>
      <c r="G736" s="10">
        <v>4</v>
      </c>
      <c r="H736" s="7">
        <v>134.1</v>
      </c>
      <c r="I736" s="7">
        <v>150</v>
      </c>
      <c r="J736" s="7">
        <v>150</v>
      </c>
      <c r="K736" s="7">
        <f t="shared" si="37"/>
        <v>536.4</v>
      </c>
      <c r="L736" s="7">
        <f t="shared" si="38"/>
        <v>600</v>
      </c>
      <c r="M736" s="14">
        <f t="shared" si="39"/>
        <v>600</v>
      </c>
    </row>
    <row r="737" spans="1:13" x14ac:dyDescent="0.35">
      <c r="A737" s="3" t="s">
        <v>1639</v>
      </c>
      <c r="B737" s="8" t="s">
        <v>1827</v>
      </c>
      <c r="C737" s="3" t="s">
        <v>1648</v>
      </c>
      <c r="D737" s="4" t="s">
        <v>1649</v>
      </c>
      <c r="E737" s="4" t="s">
        <v>1650</v>
      </c>
      <c r="F737" s="5">
        <v>7.4999999999999997E-2</v>
      </c>
      <c r="G737" s="10">
        <v>4</v>
      </c>
      <c r="H737" s="7">
        <v>171.46</v>
      </c>
      <c r="I737" s="7">
        <v>180</v>
      </c>
      <c r="J737" s="7">
        <v>190</v>
      </c>
      <c r="K737" s="7">
        <f t="shared" si="37"/>
        <v>685.84</v>
      </c>
      <c r="L737" s="7">
        <f t="shared" si="38"/>
        <v>720</v>
      </c>
      <c r="M737" s="14">
        <f t="shared" si="39"/>
        <v>760</v>
      </c>
    </row>
    <row r="738" spans="1:13" x14ac:dyDescent="0.35">
      <c r="A738" s="3" t="s">
        <v>1639</v>
      </c>
      <c r="B738" s="8" t="s">
        <v>1827</v>
      </c>
      <c r="C738" s="3" t="s">
        <v>1648</v>
      </c>
      <c r="D738" s="4" t="s">
        <v>1651</v>
      </c>
      <c r="E738" s="4" t="s">
        <v>1652</v>
      </c>
      <c r="F738" s="5">
        <v>0.15</v>
      </c>
      <c r="G738" s="10">
        <v>4</v>
      </c>
      <c r="H738" s="7">
        <v>283.08999999999997</v>
      </c>
      <c r="I738" s="7">
        <v>310</v>
      </c>
      <c r="J738" s="7">
        <v>320</v>
      </c>
      <c r="K738" s="7">
        <f t="shared" ref="K738:K781" si="40">H738*G738</f>
        <v>1132.3599999999999</v>
      </c>
      <c r="L738" s="7">
        <f t="shared" ref="L738:L781" si="41">I738*G738</f>
        <v>1240</v>
      </c>
      <c r="M738" s="14">
        <f t="shared" si="39"/>
        <v>1280</v>
      </c>
    </row>
    <row r="739" spans="1:13" x14ac:dyDescent="0.35">
      <c r="A739" s="3" t="s">
        <v>1639</v>
      </c>
      <c r="B739" s="8" t="s">
        <v>1827</v>
      </c>
      <c r="C739" s="3" t="s">
        <v>1648</v>
      </c>
      <c r="D739" s="4" t="s">
        <v>1676</v>
      </c>
      <c r="E739" s="4" t="s">
        <v>1677</v>
      </c>
      <c r="F739" s="5">
        <v>3.5000000000000003E-2</v>
      </c>
      <c r="G739" s="10">
        <v>4</v>
      </c>
      <c r="H739" s="7">
        <v>45.5</v>
      </c>
      <c r="I739" s="7">
        <v>50</v>
      </c>
      <c r="J739" s="7">
        <v>50</v>
      </c>
      <c r="K739" s="7">
        <f t="shared" si="40"/>
        <v>182</v>
      </c>
      <c r="L739" s="7">
        <f t="shared" si="41"/>
        <v>200</v>
      </c>
      <c r="M739" s="14">
        <f t="shared" si="39"/>
        <v>200</v>
      </c>
    </row>
    <row r="740" spans="1:13" x14ac:dyDescent="0.35">
      <c r="A740" s="3" t="s">
        <v>419</v>
      </c>
      <c r="B740" s="8" t="s">
        <v>1827</v>
      </c>
      <c r="C740" s="3" t="s">
        <v>432</v>
      </c>
      <c r="D740" s="4" t="s">
        <v>435</v>
      </c>
      <c r="E740" s="4" t="s">
        <v>436</v>
      </c>
      <c r="F740" s="5">
        <v>1</v>
      </c>
      <c r="G740" s="10">
        <v>5</v>
      </c>
      <c r="H740" s="7">
        <v>359.58</v>
      </c>
      <c r="I740" s="7">
        <v>390</v>
      </c>
      <c r="J740" s="7">
        <v>400</v>
      </c>
      <c r="K740" s="7">
        <f t="shared" si="40"/>
        <v>1797.8999999999999</v>
      </c>
      <c r="L740" s="7">
        <f t="shared" si="41"/>
        <v>1950</v>
      </c>
      <c r="M740" s="14">
        <f t="shared" si="39"/>
        <v>2000</v>
      </c>
    </row>
    <row r="741" spans="1:13" x14ac:dyDescent="0.35">
      <c r="A741" s="3" t="s">
        <v>419</v>
      </c>
      <c r="B741" s="8" t="s">
        <v>1827</v>
      </c>
      <c r="C741" s="3" t="s">
        <v>470</v>
      </c>
      <c r="D741" s="4" t="s">
        <v>477</v>
      </c>
      <c r="E741" s="4" t="s">
        <v>478</v>
      </c>
      <c r="F741" s="5">
        <v>1</v>
      </c>
      <c r="G741" s="10">
        <v>5</v>
      </c>
      <c r="H741" s="7">
        <v>550</v>
      </c>
      <c r="I741" s="7">
        <v>590</v>
      </c>
      <c r="J741" s="7">
        <v>600</v>
      </c>
      <c r="K741" s="7">
        <f t="shared" si="40"/>
        <v>2750</v>
      </c>
      <c r="L741" s="7">
        <f t="shared" si="41"/>
        <v>2950</v>
      </c>
      <c r="M741" s="14">
        <f t="shared" si="39"/>
        <v>3000</v>
      </c>
    </row>
    <row r="742" spans="1:13" x14ac:dyDescent="0.35">
      <c r="A742" s="3" t="s">
        <v>529</v>
      </c>
      <c r="B742" s="8" t="s">
        <v>1827</v>
      </c>
      <c r="C742" s="3" t="s">
        <v>550</v>
      </c>
      <c r="D742" s="4" t="s">
        <v>561</v>
      </c>
      <c r="E742" s="4" t="s">
        <v>562</v>
      </c>
      <c r="F742" s="5">
        <v>0.13</v>
      </c>
      <c r="G742" s="10">
        <v>5</v>
      </c>
      <c r="H742" s="7">
        <v>134.44999999999999</v>
      </c>
      <c r="I742" s="7">
        <v>145</v>
      </c>
      <c r="J742" s="7">
        <v>148</v>
      </c>
      <c r="K742" s="7">
        <f t="shared" si="40"/>
        <v>672.25</v>
      </c>
      <c r="L742" s="7">
        <f t="shared" si="41"/>
        <v>725</v>
      </c>
      <c r="M742" s="14">
        <f t="shared" si="39"/>
        <v>740</v>
      </c>
    </row>
    <row r="743" spans="1:13" x14ac:dyDescent="0.35">
      <c r="A743" s="3" t="s">
        <v>529</v>
      </c>
      <c r="B743" s="8" t="s">
        <v>1827</v>
      </c>
      <c r="C743" s="3" t="s">
        <v>550</v>
      </c>
      <c r="D743" s="4" t="s">
        <v>564</v>
      </c>
      <c r="E743" s="4" t="s">
        <v>565</v>
      </c>
      <c r="F743" s="5">
        <v>0.13</v>
      </c>
      <c r="G743" s="10">
        <v>5</v>
      </c>
      <c r="H743" s="7">
        <v>134.44</v>
      </c>
      <c r="I743" s="7">
        <v>145</v>
      </c>
      <c r="J743" s="7">
        <v>148</v>
      </c>
      <c r="K743" s="7">
        <f t="shared" si="40"/>
        <v>672.2</v>
      </c>
      <c r="L743" s="7">
        <f t="shared" si="41"/>
        <v>725</v>
      </c>
      <c r="M743" s="14">
        <f t="shared" si="39"/>
        <v>740</v>
      </c>
    </row>
    <row r="744" spans="1:13" x14ac:dyDescent="0.35">
      <c r="A744" s="3" t="s">
        <v>1639</v>
      </c>
      <c r="B744" s="8" t="s">
        <v>1827</v>
      </c>
      <c r="C744" s="3" t="s">
        <v>1648</v>
      </c>
      <c r="D744" s="4" t="s">
        <v>1657</v>
      </c>
      <c r="E744" s="4" t="s">
        <v>1658</v>
      </c>
      <c r="F744" s="5">
        <v>0</v>
      </c>
      <c r="G744" s="10">
        <v>5</v>
      </c>
      <c r="H744" s="7">
        <v>60.95</v>
      </c>
      <c r="I744" s="7">
        <v>70</v>
      </c>
      <c r="J744" s="7">
        <v>70</v>
      </c>
      <c r="K744" s="7">
        <f t="shared" si="40"/>
        <v>304.75</v>
      </c>
      <c r="L744" s="7">
        <f t="shared" si="41"/>
        <v>350</v>
      </c>
      <c r="M744" s="14">
        <f t="shared" si="39"/>
        <v>350</v>
      </c>
    </row>
    <row r="745" spans="1:13" x14ac:dyDescent="0.35">
      <c r="A745" s="3" t="s">
        <v>1639</v>
      </c>
      <c r="B745" s="8" t="s">
        <v>1827</v>
      </c>
      <c r="C745" s="3" t="s">
        <v>1648</v>
      </c>
      <c r="D745" s="4" t="s">
        <v>1681</v>
      </c>
      <c r="E745" s="4" t="s">
        <v>1682</v>
      </c>
      <c r="F745" s="5">
        <v>0.13</v>
      </c>
      <c r="G745" s="10">
        <v>5</v>
      </c>
      <c r="H745" s="7">
        <v>160.43299999999999</v>
      </c>
      <c r="I745" s="7">
        <v>175</v>
      </c>
      <c r="J745" s="7">
        <v>180</v>
      </c>
      <c r="K745" s="7">
        <f t="shared" si="40"/>
        <v>802.16499999999996</v>
      </c>
      <c r="L745" s="7">
        <f t="shared" si="41"/>
        <v>875</v>
      </c>
      <c r="M745" s="14">
        <f t="shared" si="39"/>
        <v>900</v>
      </c>
    </row>
    <row r="746" spans="1:13" x14ac:dyDescent="0.35">
      <c r="A746" s="3" t="s">
        <v>419</v>
      </c>
      <c r="B746" s="8" t="s">
        <v>1827</v>
      </c>
      <c r="C746" s="3" t="s">
        <v>470</v>
      </c>
      <c r="D746" s="4" t="s">
        <v>473</v>
      </c>
      <c r="E746" s="4" t="s">
        <v>474</v>
      </c>
      <c r="F746" s="5">
        <v>0.5</v>
      </c>
      <c r="G746" s="10">
        <v>6</v>
      </c>
      <c r="H746" s="7">
        <v>250</v>
      </c>
      <c r="I746" s="7">
        <v>270</v>
      </c>
      <c r="J746" s="7">
        <v>275</v>
      </c>
      <c r="K746" s="7">
        <f t="shared" si="40"/>
        <v>1500</v>
      </c>
      <c r="L746" s="7">
        <f t="shared" si="41"/>
        <v>1620</v>
      </c>
      <c r="M746" s="14">
        <f t="shared" si="39"/>
        <v>1650</v>
      </c>
    </row>
    <row r="747" spans="1:13" x14ac:dyDescent="0.35">
      <c r="A747" s="3" t="s">
        <v>529</v>
      </c>
      <c r="B747" s="8" t="s">
        <v>1827</v>
      </c>
      <c r="C747" s="3" t="s">
        <v>550</v>
      </c>
      <c r="D747" s="4" t="s">
        <v>551</v>
      </c>
      <c r="E747" s="4" t="s">
        <v>552</v>
      </c>
      <c r="F747" s="5">
        <v>9.8000000000000004E-2</v>
      </c>
      <c r="G747" s="10">
        <v>6</v>
      </c>
      <c r="H747" s="7">
        <v>110.95</v>
      </c>
      <c r="I747" s="7">
        <v>115</v>
      </c>
      <c r="J747" s="7">
        <v>118</v>
      </c>
      <c r="K747" s="7">
        <f t="shared" si="40"/>
        <v>665.7</v>
      </c>
      <c r="L747" s="7">
        <f t="shared" si="41"/>
        <v>690</v>
      </c>
      <c r="M747" s="14">
        <f t="shared" si="39"/>
        <v>708</v>
      </c>
    </row>
    <row r="748" spans="1:13" x14ac:dyDescent="0.35">
      <c r="A748" s="3" t="s">
        <v>1639</v>
      </c>
      <c r="B748" s="8" t="s">
        <v>1827</v>
      </c>
      <c r="C748" s="3" t="s">
        <v>1648</v>
      </c>
      <c r="D748" s="4" t="s">
        <v>1659</v>
      </c>
      <c r="E748" s="4" t="s">
        <v>1660</v>
      </c>
      <c r="F748" s="5">
        <v>4.4999999999999998E-2</v>
      </c>
      <c r="G748" s="10">
        <v>6</v>
      </c>
      <c r="H748" s="7">
        <v>62.75</v>
      </c>
      <c r="I748" s="7">
        <v>70</v>
      </c>
      <c r="J748" s="7">
        <v>70</v>
      </c>
      <c r="K748" s="7">
        <f t="shared" si="40"/>
        <v>376.5</v>
      </c>
      <c r="L748" s="7">
        <f t="shared" si="41"/>
        <v>420</v>
      </c>
      <c r="M748" s="14">
        <f t="shared" si="39"/>
        <v>420</v>
      </c>
    </row>
    <row r="749" spans="1:13" x14ac:dyDescent="0.35">
      <c r="A749" s="3" t="s">
        <v>1639</v>
      </c>
      <c r="B749" s="8" t="s">
        <v>1827</v>
      </c>
      <c r="C749" s="3" t="s">
        <v>1648</v>
      </c>
      <c r="D749" s="4" t="s">
        <v>1674</v>
      </c>
      <c r="E749" s="4" t="s">
        <v>1675</v>
      </c>
      <c r="F749" s="5">
        <v>5.5E-2</v>
      </c>
      <c r="G749" s="10">
        <v>6</v>
      </c>
      <c r="H749" s="7">
        <v>89.9</v>
      </c>
      <c r="I749" s="7">
        <v>100</v>
      </c>
      <c r="J749" s="7">
        <v>100</v>
      </c>
      <c r="K749" s="7">
        <f t="shared" si="40"/>
        <v>539.40000000000009</v>
      </c>
      <c r="L749" s="7">
        <f t="shared" si="41"/>
        <v>600</v>
      </c>
      <c r="M749" s="14">
        <f t="shared" si="39"/>
        <v>600</v>
      </c>
    </row>
    <row r="750" spans="1:13" x14ac:dyDescent="0.35">
      <c r="A750" s="3" t="s">
        <v>529</v>
      </c>
      <c r="B750" s="8" t="s">
        <v>1827</v>
      </c>
      <c r="C750" s="3" t="s">
        <v>550</v>
      </c>
      <c r="D750" s="4" t="s">
        <v>559</v>
      </c>
      <c r="E750" s="4" t="s">
        <v>560</v>
      </c>
      <c r="F750" s="5">
        <v>0.13</v>
      </c>
      <c r="G750" s="10">
        <v>8</v>
      </c>
      <c r="H750" s="7">
        <v>127.9</v>
      </c>
      <c r="I750" s="7">
        <v>145</v>
      </c>
      <c r="J750" s="7">
        <v>148</v>
      </c>
      <c r="K750" s="7">
        <f t="shared" si="40"/>
        <v>1023.2</v>
      </c>
      <c r="L750" s="7">
        <f t="shared" si="41"/>
        <v>1160</v>
      </c>
      <c r="M750" s="14">
        <f t="shared" si="39"/>
        <v>1184</v>
      </c>
    </row>
    <row r="751" spans="1:13" x14ac:dyDescent="0.35">
      <c r="A751" s="3" t="s">
        <v>1639</v>
      </c>
      <c r="B751" s="8" t="s">
        <v>1827</v>
      </c>
      <c r="C751" s="3" t="s">
        <v>1648</v>
      </c>
      <c r="D751" s="4" t="s">
        <v>1653</v>
      </c>
      <c r="E751" s="4" t="s">
        <v>1654</v>
      </c>
      <c r="F751" s="5">
        <v>0</v>
      </c>
      <c r="G751" s="10">
        <v>8</v>
      </c>
      <c r="H751" s="7">
        <v>45</v>
      </c>
      <c r="I751" s="7">
        <v>50</v>
      </c>
      <c r="J751" s="7">
        <v>50</v>
      </c>
      <c r="K751" s="7">
        <f t="shared" si="40"/>
        <v>360</v>
      </c>
      <c r="L751" s="7">
        <f t="shared" si="41"/>
        <v>400</v>
      </c>
      <c r="M751" s="14">
        <f t="shared" si="39"/>
        <v>400</v>
      </c>
    </row>
    <row r="752" spans="1:13" x14ac:dyDescent="0.35">
      <c r="A752" s="3" t="s">
        <v>1639</v>
      </c>
      <c r="B752" s="8" t="s">
        <v>1827</v>
      </c>
      <c r="C752" s="3" t="s">
        <v>1648</v>
      </c>
      <c r="D752" s="4" t="s">
        <v>1665</v>
      </c>
      <c r="E752" s="4" t="s">
        <v>1861</v>
      </c>
      <c r="F752" s="5">
        <v>7.4999999999999997E-2</v>
      </c>
      <c r="G752" s="10">
        <v>10</v>
      </c>
      <c r="H752" s="7">
        <v>64.739999999999995</v>
      </c>
      <c r="I752" s="7">
        <v>75</v>
      </c>
      <c r="J752" s="7">
        <v>75</v>
      </c>
      <c r="K752" s="7">
        <f t="shared" si="40"/>
        <v>647.4</v>
      </c>
      <c r="L752" s="7">
        <f t="shared" si="41"/>
        <v>750</v>
      </c>
      <c r="M752" s="14">
        <f t="shared" si="39"/>
        <v>750</v>
      </c>
    </row>
    <row r="753" spans="1:13" x14ac:dyDescent="0.35">
      <c r="A753" s="3" t="s">
        <v>1639</v>
      </c>
      <c r="B753" s="8" t="s">
        <v>1827</v>
      </c>
      <c r="C753" s="3" t="s">
        <v>1693</v>
      </c>
      <c r="D753" s="4" t="s">
        <v>1694</v>
      </c>
      <c r="E753" s="4" t="s">
        <v>1695</v>
      </c>
      <c r="F753" s="5">
        <v>0</v>
      </c>
      <c r="G753" s="10">
        <v>12</v>
      </c>
      <c r="H753" s="7">
        <v>70.52</v>
      </c>
      <c r="I753" s="7">
        <v>100</v>
      </c>
      <c r="J753" s="7">
        <v>100</v>
      </c>
      <c r="K753" s="7">
        <f t="shared" si="40"/>
        <v>846.24</v>
      </c>
      <c r="L753" s="7">
        <f t="shared" si="41"/>
        <v>1200</v>
      </c>
      <c r="M753" s="14">
        <f t="shared" si="39"/>
        <v>1200</v>
      </c>
    </row>
    <row r="754" spans="1:13" x14ac:dyDescent="0.35">
      <c r="A754" s="3" t="s">
        <v>1639</v>
      </c>
      <c r="B754" s="8" t="s">
        <v>1853</v>
      </c>
      <c r="C754" s="3" t="s">
        <v>1685</v>
      </c>
      <c r="D754" s="4" t="s">
        <v>1686</v>
      </c>
      <c r="E754" s="4" t="s">
        <v>1687</v>
      </c>
      <c r="F754" s="5">
        <v>0.09</v>
      </c>
      <c r="G754" s="6">
        <v>5</v>
      </c>
      <c r="H754" s="7">
        <v>240</v>
      </c>
      <c r="I754" s="7">
        <v>280</v>
      </c>
      <c r="J754" s="7">
        <v>285</v>
      </c>
      <c r="K754" s="7">
        <f t="shared" si="40"/>
        <v>1200</v>
      </c>
      <c r="L754" s="7">
        <f t="shared" si="41"/>
        <v>1400</v>
      </c>
      <c r="M754" s="14">
        <f t="shared" si="39"/>
        <v>1425</v>
      </c>
    </row>
    <row r="755" spans="1:13" x14ac:dyDescent="0.35">
      <c r="A755" s="3" t="s">
        <v>1639</v>
      </c>
      <c r="B755" s="8" t="s">
        <v>1853</v>
      </c>
      <c r="C755" s="3" t="s">
        <v>1685</v>
      </c>
      <c r="D755" s="4" t="s">
        <v>1688</v>
      </c>
      <c r="E755" s="4" t="s">
        <v>1689</v>
      </c>
      <c r="F755" s="5">
        <v>0.14000000000000001</v>
      </c>
      <c r="G755" s="6">
        <v>3</v>
      </c>
      <c r="H755" s="7">
        <v>260</v>
      </c>
      <c r="I755" s="7">
        <v>300</v>
      </c>
      <c r="J755" s="7">
        <v>310</v>
      </c>
      <c r="K755" s="7">
        <f t="shared" si="40"/>
        <v>780</v>
      </c>
      <c r="L755" s="7">
        <f t="shared" si="41"/>
        <v>900</v>
      </c>
      <c r="M755" s="14">
        <f t="shared" si="39"/>
        <v>930</v>
      </c>
    </row>
    <row r="756" spans="1:13" x14ac:dyDescent="0.35">
      <c r="A756" s="3" t="s">
        <v>1639</v>
      </c>
      <c r="B756" s="8" t="s">
        <v>1854</v>
      </c>
      <c r="C756" s="3" t="s">
        <v>1690</v>
      </c>
      <c r="D756" s="4" t="s">
        <v>1691</v>
      </c>
      <c r="E756" s="4" t="s">
        <v>1692</v>
      </c>
      <c r="F756" s="5">
        <v>6.5000000000000002E-2</v>
      </c>
      <c r="G756" s="6">
        <v>5</v>
      </c>
      <c r="H756" s="7">
        <v>160</v>
      </c>
      <c r="I756" s="7">
        <v>190</v>
      </c>
      <c r="J756" s="7">
        <v>200</v>
      </c>
      <c r="K756" s="7">
        <f t="shared" si="40"/>
        <v>800</v>
      </c>
      <c r="L756" s="7">
        <f t="shared" si="41"/>
        <v>950</v>
      </c>
      <c r="M756" s="14">
        <f t="shared" si="39"/>
        <v>1000</v>
      </c>
    </row>
    <row r="757" spans="1:13" x14ac:dyDescent="0.35">
      <c r="A757" s="3" t="s">
        <v>419</v>
      </c>
      <c r="B757" s="8" t="s">
        <v>1827</v>
      </c>
      <c r="C757" s="3" t="s">
        <v>470</v>
      </c>
      <c r="D757" s="4" t="s">
        <v>475</v>
      </c>
      <c r="E757" s="4" t="s">
        <v>476</v>
      </c>
      <c r="F757" s="5">
        <v>0.105</v>
      </c>
      <c r="G757" s="10">
        <v>13</v>
      </c>
      <c r="H757" s="7">
        <v>45.78</v>
      </c>
      <c r="I757" s="7">
        <v>50</v>
      </c>
      <c r="J757" s="7">
        <v>50</v>
      </c>
      <c r="K757" s="7">
        <f t="shared" si="40"/>
        <v>595.14</v>
      </c>
      <c r="L757" s="7">
        <f t="shared" si="41"/>
        <v>650</v>
      </c>
      <c r="M757" s="14">
        <f t="shared" si="39"/>
        <v>650</v>
      </c>
    </row>
    <row r="758" spans="1:13" x14ac:dyDescent="0.35">
      <c r="A758" s="3" t="s">
        <v>1611</v>
      </c>
      <c r="B758" s="8" t="s">
        <v>1827</v>
      </c>
      <c r="C758" s="3" t="s">
        <v>1615</v>
      </c>
      <c r="D758" s="4" t="s">
        <v>1622</v>
      </c>
      <c r="E758" s="4" t="s">
        <v>1623</v>
      </c>
      <c r="F758" s="5">
        <v>0</v>
      </c>
      <c r="G758" s="10">
        <v>13</v>
      </c>
      <c r="H758" s="7">
        <v>65</v>
      </c>
      <c r="I758" s="7">
        <v>70</v>
      </c>
      <c r="J758" s="7">
        <v>70</v>
      </c>
      <c r="K758" s="7">
        <f t="shared" si="40"/>
        <v>845</v>
      </c>
      <c r="L758" s="7">
        <f t="shared" si="41"/>
        <v>910</v>
      </c>
      <c r="M758" s="14">
        <f t="shared" si="39"/>
        <v>910</v>
      </c>
    </row>
    <row r="759" spans="1:13" x14ac:dyDescent="0.35">
      <c r="A759" s="3" t="s">
        <v>1611</v>
      </c>
      <c r="B759" s="8" t="s">
        <v>1827</v>
      </c>
      <c r="C759" s="3" t="s">
        <v>1615</v>
      </c>
      <c r="D759" s="4" t="s">
        <v>1630</v>
      </c>
      <c r="E759" s="4" t="s">
        <v>1631</v>
      </c>
      <c r="F759" s="5">
        <v>0.09</v>
      </c>
      <c r="G759" s="10">
        <v>16</v>
      </c>
      <c r="H759" s="7">
        <v>28.22</v>
      </c>
      <c r="I759" s="7">
        <v>30</v>
      </c>
      <c r="J759" s="7">
        <v>30</v>
      </c>
      <c r="K759" s="7">
        <f t="shared" si="40"/>
        <v>451.52</v>
      </c>
      <c r="L759" s="7">
        <f t="shared" si="41"/>
        <v>480</v>
      </c>
      <c r="M759" s="14">
        <f t="shared" si="39"/>
        <v>480</v>
      </c>
    </row>
    <row r="760" spans="1:13" x14ac:dyDescent="0.35">
      <c r="A760" s="3" t="s">
        <v>419</v>
      </c>
      <c r="B760" s="8" t="s">
        <v>1827</v>
      </c>
      <c r="C760" s="3" t="s">
        <v>470</v>
      </c>
      <c r="D760" s="4" t="s">
        <v>471</v>
      </c>
      <c r="E760" s="4" t="s">
        <v>472</v>
      </c>
      <c r="F760" s="5">
        <v>0.04</v>
      </c>
      <c r="G760" s="10">
        <v>17</v>
      </c>
      <c r="H760" s="7">
        <v>18.309999999999999</v>
      </c>
      <c r="I760" s="7">
        <v>20</v>
      </c>
      <c r="J760" s="7">
        <v>20</v>
      </c>
      <c r="K760" s="7">
        <f t="shared" si="40"/>
        <v>311.27</v>
      </c>
      <c r="L760" s="7">
        <f t="shared" si="41"/>
        <v>340</v>
      </c>
      <c r="M760" s="14">
        <f t="shared" si="39"/>
        <v>340</v>
      </c>
    </row>
    <row r="761" spans="1:13" x14ac:dyDescent="0.35">
      <c r="A761" s="3" t="s">
        <v>529</v>
      </c>
      <c r="B761" s="8" t="s">
        <v>1827</v>
      </c>
      <c r="C761" s="3" t="s">
        <v>550</v>
      </c>
      <c r="D761" s="4" t="s">
        <v>557</v>
      </c>
      <c r="E761" s="4" t="s">
        <v>558</v>
      </c>
      <c r="F761" s="5">
        <v>0</v>
      </c>
      <c r="G761" s="10">
        <v>18</v>
      </c>
      <c r="H761" s="7">
        <v>127.9</v>
      </c>
      <c r="I761" s="7">
        <v>145</v>
      </c>
      <c r="J761" s="7">
        <v>148</v>
      </c>
      <c r="K761" s="7">
        <f t="shared" si="40"/>
        <v>2302.2000000000003</v>
      </c>
      <c r="L761" s="7">
        <f t="shared" si="41"/>
        <v>2610</v>
      </c>
      <c r="M761" s="14">
        <f t="shared" si="39"/>
        <v>2664</v>
      </c>
    </row>
    <row r="762" spans="1:13" x14ac:dyDescent="0.35">
      <c r="A762" s="3" t="s">
        <v>1611</v>
      </c>
      <c r="B762" s="8" t="s">
        <v>1827</v>
      </c>
      <c r="C762" s="3" t="s">
        <v>1615</v>
      </c>
      <c r="D762" s="4" t="s">
        <v>1632</v>
      </c>
      <c r="E762" s="4" t="s">
        <v>1633</v>
      </c>
      <c r="F762" s="5">
        <v>0.26500000000000001</v>
      </c>
      <c r="G762" s="10">
        <v>20</v>
      </c>
      <c r="H762" s="7">
        <v>75</v>
      </c>
      <c r="I762" s="7">
        <v>80</v>
      </c>
      <c r="J762" s="7">
        <v>80</v>
      </c>
      <c r="K762" s="7">
        <f t="shared" si="40"/>
        <v>1500</v>
      </c>
      <c r="L762" s="7">
        <f t="shared" si="41"/>
        <v>1600</v>
      </c>
      <c r="M762" s="14">
        <f t="shared" si="39"/>
        <v>1600</v>
      </c>
    </row>
    <row r="763" spans="1:13" x14ac:dyDescent="0.35">
      <c r="A763" s="3" t="s">
        <v>1611</v>
      </c>
      <c r="B763" s="8" t="s">
        <v>1827</v>
      </c>
      <c r="C763" s="3" t="s">
        <v>1615</v>
      </c>
      <c r="D763" s="4" t="s">
        <v>1618</v>
      </c>
      <c r="E763" s="4" t="s">
        <v>1619</v>
      </c>
      <c r="F763" s="5">
        <v>0.28999999999999998</v>
      </c>
      <c r="G763" s="10">
        <v>22</v>
      </c>
      <c r="H763" s="7">
        <v>84.3</v>
      </c>
      <c r="I763" s="7">
        <v>90</v>
      </c>
      <c r="J763" s="7">
        <v>90</v>
      </c>
      <c r="K763" s="7">
        <f t="shared" si="40"/>
        <v>1854.6</v>
      </c>
      <c r="L763" s="7">
        <f t="shared" si="41"/>
        <v>1980</v>
      </c>
      <c r="M763" s="14">
        <f t="shared" si="39"/>
        <v>1980</v>
      </c>
    </row>
    <row r="764" spans="1:13" x14ac:dyDescent="0.35">
      <c r="A764" s="3" t="s">
        <v>1611</v>
      </c>
      <c r="B764" s="8" t="s">
        <v>1827</v>
      </c>
      <c r="C764" s="3" t="s">
        <v>1615</v>
      </c>
      <c r="D764" s="4" t="s">
        <v>1616</v>
      </c>
      <c r="E764" s="4" t="s">
        <v>1617</v>
      </c>
      <c r="F764" s="5">
        <v>0.16500000000000001</v>
      </c>
      <c r="G764" s="10">
        <v>50</v>
      </c>
      <c r="H764" s="7">
        <v>48</v>
      </c>
      <c r="I764" s="7">
        <v>50</v>
      </c>
      <c r="J764" s="7">
        <v>50</v>
      </c>
      <c r="K764" s="7">
        <f t="shared" si="40"/>
        <v>2400</v>
      </c>
      <c r="L764" s="7">
        <f t="shared" si="41"/>
        <v>2500</v>
      </c>
      <c r="M764" s="14">
        <f t="shared" si="39"/>
        <v>2500</v>
      </c>
    </row>
    <row r="765" spans="1:13" x14ac:dyDescent="0.35">
      <c r="A765" s="3" t="s">
        <v>1639</v>
      </c>
      <c r="B765" s="8" t="s">
        <v>1852</v>
      </c>
      <c r="C765" s="3" t="s">
        <v>1693</v>
      </c>
      <c r="D765" s="4" t="s">
        <v>1696</v>
      </c>
      <c r="E765" s="4" t="s">
        <v>1642</v>
      </c>
      <c r="F765" s="5">
        <v>0</v>
      </c>
      <c r="G765" s="6">
        <v>5</v>
      </c>
      <c r="H765" s="7">
        <v>210</v>
      </c>
      <c r="I765" s="7">
        <v>240</v>
      </c>
      <c r="J765" s="7">
        <v>250</v>
      </c>
      <c r="K765" s="7">
        <f t="shared" si="40"/>
        <v>1050</v>
      </c>
      <c r="L765" s="7">
        <f t="shared" si="41"/>
        <v>1200</v>
      </c>
      <c r="M765" s="14">
        <f t="shared" si="39"/>
        <v>1250</v>
      </c>
    </row>
    <row r="766" spans="1:13" x14ac:dyDescent="0.35">
      <c r="A766" s="3" t="s">
        <v>1639</v>
      </c>
      <c r="B766" s="8" t="s">
        <v>1852</v>
      </c>
      <c r="C766" s="3" t="s">
        <v>1693</v>
      </c>
      <c r="D766" s="4" t="s">
        <v>1697</v>
      </c>
      <c r="E766" s="4" t="s">
        <v>1698</v>
      </c>
      <c r="F766" s="5">
        <v>0</v>
      </c>
      <c r="G766" s="6">
        <v>3</v>
      </c>
      <c r="H766" s="7">
        <v>63.8</v>
      </c>
      <c r="I766" s="7">
        <v>80</v>
      </c>
      <c r="J766" s="7">
        <v>80</v>
      </c>
      <c r="K766" s="7">
        <f t="shared" si="40"/>
        <v>191.39999999999998</v>
      </c>
      <c r="L766" s="7">
        <f t="shared" si="41"/>
        <v>240</v>
      </c>
      <c r="M766" s="14">
        <f t="shared" si="39"/>
        <v>240</v>
      </c>
    </row>
    <row r="767" spans="1:13" ht="15" customHeight="1" x14ac:dyDescent="0.35">
      <c r="A767" s="3" t="s">
        <v>1639</v>
      </c>
      <c r="B767" s="8" t="s">
        <v>1852</v>
      </c>
      <c r="C767" s="3" t="s">
        <v>1699</v>
      </c>
      <c r="D767" s="4" t="s">
        <v>1700</v>
      </c>
      <c r="E767" s="4" t="s">
        <v>1701</v>
      </c>
      <c r="F767" s="5">
        <v>4.4999999999999998E-2</v>
      </c>
      <c r="G767" s="6">
        <v>2</v>
      </c>
      <c r="H767" s="7">
        <v>260</v>
      </c>
      <c r="I767" s="7">
        <v>290</v>
      </c>
      <c r="J767" s="7">
        <v>290</v>
      </c>
      <c r="K767" s="7">
        <f t="shared" si="40"/>
        <v>520</v>
      </c>
      <c r="L767" s="7">
        <f t="shared" si="41"/>
        <v>580</v>
      </c>
      <c r="M767" s="14">
        <f t="shared" si="39"/>
        <v>580</v>
      </c>
    </row>
    <row r="768" spans="1:13" x14ac:dyDescent="0.35">
      <c r="A768" s="3" t="s">
        <v>1639</v>
      </c>
      <c r="B768" s="8" t="s">
        <v>1855</v>
      </c>
      <c r="C768" s="3" t="s">
        <v>1699</v>
      </c>
      <c r="D768" s="4" t="s">
        <v>1702</v>
      </c>
      <c r="E768" s="4" t="s">
        <v>1703</v>
      </c>
      <c r="F768" s="5">
        <v>0</v>
      </c>
      <c r="G768" s="6">
        <v>2</v>
      </c>
      <c r="H768" s="7">
        <v>280</v>
      </c>
      <c r="I768" s="7">
        <v>320</v>
      </c>
      <c r="J768" s="7">
        <v>320</v>
      </c>
      <c r="K768" s="7">
        <f t="shared" si="40"/>
        <v>560</v>
      </c>
      <c r="L768" s="7">
        <f t="shared" si="41"/>
        <v>640</v>
      </c>
      <c r="M768" s="14">
        <f t="shared" si="39"/>
        <v>640</v>
      </c>
    </row>
    <row r="769" spans="1:13" x14ac:dyDescent="0.35">
      <c r="A769" s="3" t="s">
        <v>1639</v>
      </c>
      <c r="B769" s="8" t="s">
        <v>1856</v>
      </c>
      <c r="C769" s="3" t="s">
        <v>1704</v>
      </c>
      <c r="D769" s="4" t="s">
        <v>1705</v>
      </c>
      <c r="E769" s="4" t="s">
        <v>1706</v>
      </c>
      <c r="F769" s="5">
        <v>7.0000000000000007E-2</v>
      </c>
      <c r="G769" s="6">
        <v>1</v>
      </c>
      <c r="H769" s="7">
        <v>350</v>
      </c>
      <c r="I769" s="7">
        <v>370</v>
      </c>
      <c r="J769" s="7">
        <v>380</v>
      </c>
      <c r="K769" s="7">
        <f t="shared" si="40"/>
        <v>350</v>
      </c>
      <c r="L769" s="7">
        <f t="shared" si="41"/>
        <v>370</v>
      </c>
      <c r="M769" s="14">
        <f t="shared" si="39"/>
        <v>380</v>
      </c>
    </row>
    <row r="770" spans="1:13" x14ac:dyDescent="0.35">
      <c r="A770" s="3" t="s">
        <v>1639</v>
      </c>
      <c r="B770" s="8" t="s">
        <v>1856</v>
      </c>
      <c r="C770" s="3" t="s">
        <v>1704</v>
      </c>
      <c r="D770" s="4" t="s">
        <v>1707</v>
      </c>
      <c r="E770" s="4" t="s">
        <v>1708</v>
      </c>
      <c r="F770" s="5">
        <v>0.03</v>
      </c>
      <c r="G770" s="6">
        <v>1</v>
      </c>
      <c r="H770" s="7">
        <v>138</v>
      </c>
      <c r="I770" s="7">
        <v>150</v>
      </c>
      <c r="J770" s="7">
        <v>150</v>
      </c>
      <c r="K770" s="7">
        <f t="shared" si="40"/>
        <v>138</v>
      </c>
      <c r="L770" s="7">
        <f t="shared" si="41"/>
        <v>150</v>
      </c>
      <c r="M770" s="14">
        <f t="shared" si="39"/>
        <v>150</v>
      </c>
    </row>
    <row r="771" spans="1:13" x14ac:dyDescent="0.35">
      <c r="A771" s="3" t="s">
        <v>1639</v>
      </c>
      <c r="B771" s="8" t="s">
        <v>1856</v>
      </c>
      <c r="C771" s="3" t="s">
        <v>1704</v>
      </c>
      <c r="D771" s="4" t="s">
        <v>1709</v>
      </c>
      <c r="E771" s="4" t="s">
        <v>1710</v>
      </c>
      <c r="F771" s="5">
        <v>7.0000000000000007E-2</v>
      </c>
      <c r="G771" s="6">
        <v>1</v>
      </c>
      <c r="H771" s="7">
        <v>312.74</v>
      </c>
      <c r="I771" s="7">
        <v>330</v>
      </c>
      <c r="J771" s="7">
        <v>340</v>
      </c>
      <c r="K771" s="7">
        <f t="shared" si="40"/>
        <v>312.74</v>
      </c>
      <c r="L771" s="7">
        <f t="shared" si="41"/>
        <v>330</v>
      </c>
      <c r="M771" s="14">
        <f t="shared" si="39"/>
        <v>340</v>
      </c>
    </row>
    <row r="772" spans="1:13" x14ac:dyDescent="0.35">
      <c r="A772" s="3" t="s">
        <v>1639</v>
      </c>
      <c r="B772" s="8" t="s">
        <v>1856</v>
      </c>
      <c r="C772" s="3" t="s">
        <v>1704</v>
      </c>
      <c r="D772" s="4" t="s">
        <v>1712</v>
      </c>
      <c r="E772" s="4" t="s">
        <v>1711</v>
      </c>
      <c r="F772" s="5">
        <v>0.05</v>
      </c>
      <c r="G772" s="6">
        <v>2</v>
      </c>
      <c r="H772" s="7">
        <v>187</v>
      </c>
      <c r="I772" s="7">
        <v>200</v>
      </c>
      <c r="J772" s="7">
        <v>210</v>
      </c>
      <c r="K772" s="7">
        <f t="shared" si="40"/>
        <v>374</v>
      </c>
      <c r="L772" s="7">
        <f t="shared" si="41"/>
        <v>400</v>
      </c>
      <c r="M772" s="14">
        <f t="shared" si="39"/>
        <v>420</v>
      </c>
    </row>
    <row r="773" spans="1:13" x14ac:dyDescent="0.35">
      <c r="A773" s="3" t="s">
        <v>691</v>
      </c>
      <c r="B773" s="3" t="s">
        <v>1835</v>
      </c>
      <c r="C773" s="3" t="s">
        <v>692</v>
      </c>
      <c r="D773" s="4" t="s">
        <v>699</v>
      </c>
      <c r="E773" s="4" t="s">
        <v>700</v>
      </c>
      <c r="F773" s="5">
        <v>0.2</v>
      </c>
      <c r="G773" s="6">
        <v>1</v>
      </c>
      <c r="H773" s="7">
        <v>216.7</v>
      </c>
      <c r="I773" s="7">
        <v>240</v>
      </c>
      <c r="J773" s="7">
        <v>250</v>
      </c>
      <c r="K773" s="7">
        <f t="shared" si="40"/>
        <v>216.7</v>
      </c>
      <c r="L773" s="7">
        <f t="shared" si="41"/>
        <v>240</v>
      </c>
      <c r="M773" s="14">
        <f t="shared" si="39"/>
        <v>250</v>
      </c>
    </row>
    <row r="774" spans="1:13" x14ac:dyDescent="0.35">
      <c r="A774" s="3" t="s">
        <v>691</v>
      </c>
      <c r="B774" s="3" t="s">
        <v>1835</v>
      </c>
      <c r="C774" s="3" t="s">
        <v>692</v>
      </c>
      <c r="D774" s="4" t="s">
        <v>703</v>
      </c>
      <c r="E774" s="4" t="s">
        <v>704</v>
      </c>
      <c r="F774" s="5">
        <v>0.5</v>
      </c>
      <c r="G774" s="6">
        <v>1</v>
      </c>
      <c r="H774" s="7">
        <v>179.4</v>
      </c>
      <c r="I774" s="7">
        <v>200</v>
      </c>
      <c r="J774" s="7">
        <v>200</v>
      </c>
      <c r="K774" s="7">
        <f t="shared" si="40"/>
        <v>179.4</v>
      </c>
      <c r="L774" s="7">
        <f t="shared" si="41"/>
        <v>200</v>
      </c>
      <c r="M774" s="14">
        <f t="shared" si="39"/>
        <v>200</v>
      </c>
    </row>
    <row r="775" spans="1:13" x14ac:dyDescent="0.35">
      <c r="A775" s="3" t="s">
        <v>691</v>
      </c>
      <c r="B775" s="3" t="s">
        <v>1835</v>
      </c>
      <c r="C775" s="3" t="s">
        <v>692</v>
      </c>
      <c r="D775" s="4" t="s">
        <v>693</v>
      </c>
      <c r="E775" s="4" t="s">
        <v>694</v>
      </c>
      <c r="F775" s="5">
        <v>0.25</v>
      </c>
      <c r="G775" s="6">
        <v>2</v>
      </c>
      <c r="H775" s="7">
        <v>89.75</v>
      </c>
      <c r="I775" s="7">
        <v>95</v>
      </c>
      <c r="J775" s="7">
        <v>100</v>
      </c>
      <c r="K775" s="7">
        <f t="shared" si="40"/>
        <v>179.5</v>
      </c>
      <c r="L775" s="7">
        <f t="shared" si="41"/>
        <v>190</v>
      </c>
      <c r="M775" s="14">
        <f t="shared" si="39"/>
        <v>200</v>
      </c>
    </row>
    <row r="776" spans="1:13" x14ac:dyDescent="0.35">
      <c r="A776" s="3" t="s">
        <v>691</v>
      </c>
      <c r="B776" s="3" t="s">
        <v>1835</v>
      </c>
      <c r="C776" s="3" t="s">
        <v>692</v>
      </c>
      <c r="D776" s="4" t="s">
        <v>695</v>
      </c>
      <c r="E776" s="4" t="s">
        <v>696</v>
      </c>
      <c r="F776" s="5">
        <v>1</v>
      </c>
      <c r="G776" s="6">
        <v>2</v>
      </c>
      <c r="H776" s="7">
        <v>348.25</v>
      </c>
      <c r="I776" s="7">
        <v>370</v>
      </c>
      <c r="J776" s="7">
        <v>380</v>
      </c>
      <c r="K776" s="7">
        <f t="shared" si="40"/>
        <v>696.5</v>
      </c>
      <c r="L776" s="7">
        <f t="shared" si="41"/>
        <v>740</v>
      </c>
      <c r="M776" s="14">
        <f t="shared" si="39"/>
        <v>760</v>
      </c>
    </row>
    <row r="777" spans="1:13" x14ac:dyDescent="0.35">
      <c r="A777" s="3" t="s">
        <v>691</v>
      </c>
      <c r="B777" s="3" t="s">
        <v>1835</v>
      </c>
      <c r="C777" s="3" t="s">
        <v>692</v>
      </c>
      <c r="D777" s="4" t="s">
        <v>701</v>
      </c>
      <c r="E777" s="4" t="s">
        <v>702</v>
      </c>
      <c r="F777" s="5">
        <v>0.2</v>
      </c>
      <c r="G777" s="6">
        <v>2</v>
      </c>
      <c r="H777" s="7">
        <v>148</v>
      </c>
      <c r="I777" s="7">
        <v>170</v>
      </c>
      <c r="J777" s="7">
        <v>170</v>
      </c>
      <c r="K777" s="7">
        <f t="shared" si="40"/>
        <v>296</v>
      </c>
      <c r="L777" s="7">
        <f t="shared" si="41"/>
        <v>340</v>
      </c>
      <c r="M777" s="14">
        <f t="shared" si="39"/>
        <v>340</v>
      </c>
    </row>
    <row r="778" spans="1:13" x14ac:dyDescent="0.35">
      <c r="A778" s="3" t="s">
        <v>691</v>
      </c>
      <c r="B778" s="3" t="s">
        <v>1835</v>
      </c>
      <c r="C778" s="3" t="s">
        <v>692</v>
      </c>
      <c r="D778" s="4" t="s">
        <v>697</v>
      </c>
      <c r="E778" s="4" t="s">
        <v>698</v>
      </c>
      <c r="F778" s="5">
        <v>24</v>
      </c>
      <c r="G778" s="6">
        <v>5</v>
      </c>
      <c r="H778" s="7">
        <v>119.15</v>
      </c>
      <c r="I778" s="7">
        <v>130</v>
      </c>
      <c r="J778" s="7">
        <v>130</v>
      </c>
      <c r="K778" s="7">
        <f t="shared" si="40"/>
        <v>595.75</v>
      </c>
      <c r="L778" s="7">
        <f t="shared" si="41"/>
        <v>650</v>
      </c>
      <c r="M778" s="14">
        <f t="shared" si="39"/>
        <v>650</v>
      </c>
    </row>
    <row r="779" spans="1:13" x14ac:dyDescent="0.35">
      <c r="A779" s="3" t="s">
        <v>1713</v>
      </c>
      <c r="B779" s="3" t="s">
        <v>1835</v>
      </c>
      <c r="C779" s="3" t="s">
        <v>1714</v>
      </c>
      <c r="D779" s="4" t="s">
        <v>1715</v>
      </c>
      <c r="E779" s="4" t="s">
        <v>1716</v>
      </c>
      <c r="F779" s="5">
        <v>0</v>
      </c>
      <c r="G779" s="6">
        <v>6</v>
      </c>
      <c r="H779" s="7">
        <v>23.88</v>
      </c>
      <c r="I779" s="7">
        <v>25</v>
      </c>
      <c r="J779" s="7">
        <v>25</v>
      </c>
      <c r="K779" s="7">
        <f t="shared" si="40"/>
        <v>143.28</v>
      </c>
      <c r="L779" s="7">
        <f t="shared" si="41"/>
        <v>150</v>
      </c>
      <c r="M779" s="14">
        <f t="shared" si="39"/>
        <v>150</v>
      </c>
    </row>
    <row r="780" spans="1:13" x14ac:dyDescent="0.35">
      <c r="A780" s="3" t="s">
        <v>1713</v>
      </c>
      <c r="B780" s="3" t="s">
        <v>1835</v>
      </c>
      <c r="C780" s="3" t="s">
        <v>1714</v>
      </c>
      <c r="D780" s="4" t="s">
        <v>1719</v>
      </c>
      <c r="E780" s="4" t="s">
        <v>1720</v>
      </c>
      <c r="F780" s="5">
        <v>0.125</v>
      </c>
      <c r="G780" s="6">
        <v>9</v>
      </c>
      <c r="H780" s="7">
        <v>88.92</v>
      </c>
      <c r="I780" s="7">
        <v>100</v>
      </c>
      <c r="J780" s="7">
        <v>100</v>
      </c>
      <c r="K780" s="7">
        <f t="shared" si="40"/>
        <v>800.28</v>
      </c>
      <c r="L780" s="7">
        <f t="shared" si="41"/>
        <v>900</v>
      </c>
      <c r="M780" s="14">
        <f t="shared" ref="M780:M829" si="42">J780*G780</f>
        <v>900</v>
      </c>
    </row>
    <row r="781" spans="1:13" x14ac:dyDescent="0.35">
      <c r="A781" s="3" t="s">
        <v>1713</v>
      </c>
      <c r="B781" s="3" t="s">
        <v>1835</v>
      </c>
      <c r="C781" s="3" t="s">
        <v>1714</v>
      </c>
      <c r="D781" s="4" t="s">
        <v>1717</v>
      </c>
      <c r="E781" s="4" t="s">
        <v>1718</v>
      </c>
      <c r="F781" s="5">
        <v>0</v>
      </c>
      <c r="G781" s="6">
        <v>12</v>
      </c>
      <c r="H781" s="7">
        <v>23.88</v>
      </c>
      <c r="I781" s="7">
        <v>25</v>
      </c>
      <c r="J781" s="7">
        <v>25</v>
      </c>
      <c r="K781" s="7">
        <f t="shared" si="40"/>
        <v>286.56</v>
      </c>
      <c r="L781" s="7">
        <f t="shared" si="41"/>
        <v>300</v>
      </c>
      <c r="M781" s="14">
        <f t="shared" si="42"/>
        <v>300</v>
      </c>
    </row>
    <row r="782" spans="1:13" ht="15" customHeight="1" x14ac:dyDescent="0.35">
      <c r="A782" s="3" t="s">
        <v>1713</v>
      </c>
      <c r="B782" s="8" t="s">
        <v>291</v>
      </c>
      <c r="C782" s="3" t="s">
        <v>1721</v>
      </c>
      <c r="D782" s="4" t="s">
        <v>1722</v>
      </c>
      <c r="E782" s="4" t="s">
        <v>1723</v>
      </c>
      <c r="F782" s="5">
        <v>0</v>
      </c>
      <c r="G782" s="6">
        <v>8</v>
      </c>
      <c r="H782" s="7">
        <v>65</v>
      </c>
      <c r="I782" s="7">
        <v>80</v>
      </c>
      <c r="J782" s="7">
        <v>80</v>
      </c>
      <c r="K782" s="7">
        <f>H782*G782</f>
        <v>520</v>
      </c>
      <c r="L782" s="7">
        <f>I782*G782</f>
        <v>640</v>
      </c>
      <c r="M782" s="14">
        <f t="shared" si="42"/>
        <v>640</v>
      </c>
    </row>
    <row r="783" spans="1:13" x14ac:dyDescent="0.35">
      <c r="A783" s="3" t="s">
        <v>1713</v>
      </c>
      <c r="B783" s="8" t="s">
        <v>291</v>
      </c>
      <c r="C783" s="3" t="s">
        <v>1721</v>
      </c>
      <c r="D783" s="4" t="s">
        <v>1724</v>
      </c>
      <c r="E783" s="4" t="s">
        <v>1725</v>
      </c>
      <c r="F783" s="5">
        <v>0</v>
      </c>
      <c r="G783" s="6">
        <v>6</v>
      </c>
      <c r="H783" s="7">
        <v>185</v>
      </c>
      <c r="I783" s="7">
        <v>220</v>
      </c>
      <c r="J783" s="7">
        <v>240</v>
      </c>
      <c r="K783" s="7">
        <f>H783*G783</f>
        <v>1110</v>
      </c>
      <c r="L783" s="7">
        <f>I783*G783</f>
        <v>1320</v>
      </c>
      <c r="M783" s="14">
        <f t="shared" si="42"/>
        <v>1440</v>
      </c>
    </row>
    <row r="784" spans="1:13" x14ac:dyDescent="0.35">
      <c r="A784" s="3" t="s">
        <v>1713</v>
      </c>
      <c r="B784" s="8" t="s">
        <v>291</v>
      </c>
      <c r="C784" s="3" t="s">
        <v>1721</v>
      </c>
      <c r="D784" s="4" t="s">
        <v>1726</v>
      </c>
      <c r="E784" s="4" t="s">
        <v>1727</v>
      </c>
      <c r="F784" s="5">
        <v>0</v>
      </c>
      <c r="G784" s="6">
        <v>18</v>
      </c>
      <c r="H784" s="7">
        <v>147</v>
      </c>
      <c r="I784" s="7">
        <v>180</v>
      </c>
      <c r="J784" s="7">
        <v>200</v>
      </c>
      <c r="K784" s="7">
        <f>H784*G784</f>
        <v>2646</v>
      </c>
      <c r="L784" s="7">
        <f>I784*G784</f>
        <v>3240</v>
      </c>
      <c r="M784" s="14">
        <f t="shared" si="42"/>
        <v>3600</v>
      </c>
    </row>
    <row r="785" spans="1:13" x14ac:dyDescent="0.35">
      <c r="A785" s="3" t="s">
        <v>1713</v>
      </c>
      <c r="B785" s="8" t="s">
        <v>291</v>
      </c>
      <c r="C785" s="3" t="s">
        <v>1721</v>
      </c>
      <c r="D785" s="4" t="s">
        <v>1728</v>
      </c>
      <c r="E785" s="4" t="s">
        <v>1729</v>
      </c>
      <c r="F785" s="5">
        <v>0</v>
      </c>
      <c r="G785" s="6">
        <v>18</v>
      </c>
      <c r="H785" s="7">
        <v>125</v>
      </c>
      <c r="I785" s="7">
        <v>160</v>
      </c>
      <c r="J785" s="7">
        <v>160</v>
      </c>
      <c r="K785" s="7">
        <f>H785*G785</f>
        <v>2250</v>
      </c>
      <c r="L785" s="7">
        <f>I785*G785</f>
        <v>2880</v>
      </c>
      <c r="M785" s="14">
        <f t="shared" si="42"/>
        <v>2880</v>
      </c>
    </row>
    <row r="786" spans="1:13" x14ac:dyDescent="0.35">
      <c r="A786" s="3" t="s">
        <v>1713</v>
      </c>
      <c r="B786" s="8" t="s">
        <v>1730</v>
      </c>
      <c r="C786" s="3" t="s">
        <v>1731</v>
      </c>
      <c r="D786" s="4" t="s">
        <v>1732</v>
      </c>
      <c r="E786" s="4" t="s">
        <v>1733</v>
      </c>
      <c r="F786" s="5">
        <v>8.5000000000000006E-2</v>
      </c>
      <c r="G786" s="6">
        <v>4</v>
      </c>
      <c r="H786" s="7">
        <v>166.04300000000001</v>
      </c>
      <c r="I786" s="7">
        <v>180</v>
      </c>
      <c r="J786" s="7">
        <v>180</v>
      </c>
      <c r="K786" s="7">
        <f t="shared" ref="K786:K828" si="43">H786*G786</f>
        <v>664.17200000000003</v>
      </c>
      <c r="L786" s="7">
        <f t="shared" ref="L786:L828" si="44">I786*G786</f>
        <v>720</v>
      </c>
      <c r="M786" s="14">
        <f t="shared" si="42"/>
        <v>720</v>
      </c>
    </row>
    <row r="787" spans="1:13" x14ac:dyDescent="0.35">
      <c r="A787" s="3" t="s">
        <v>1713</v>
      </c>
      <c r="B787" s="8" t="s">
        <v>1730</v>
      </c>
      <c r="C787" s="3" t="s">
        <v>1731</v>
      </c>
      <c r="D787" s="4" t="s">
        <v>1734</v>
      </c>
      <c r="E787" s="4" t="s">
        <v>1735</v>
      </c>
      <c r="F787" s="5">
        <v>0.17</v>
      </c>
      <c r="G787" s="6">
        <v>6</v>
      </c>
      <c r="H787" s="7">
        <v>329.07</v>
      </c>
      <c r="I787" s="7">
        <v>350</v>
      </c>
      <c r="J787" s="7">
        <v>360</v>
      </c>
      <c r="K787" s="7">
        <f t="shared" si="43"/>
        <v>1974.42</v>
      </c>
      <c r="L787" s="7">
        <f t="shared" si="44"/>
        <v>2100</v>
      </c>
      <c r="M787" s="14">
        <f t="shared" si="42"/>
        <v>2160</v>
      </c>
    </row>
    <row r="788" spans="1:13" x14ac:dyDescent="0.35">
      <c r="A788" s="3" t="s">
        <v>1713</v>
      </c>
      <c r="B788" s="8" t="s">
        <v>1857</v>
      </c>
      <c r="C788" s="3" t="s">
        <v>1736</v>
      </c>
      <c r="D788" s="4" t="s">
        <v>1737</v>
      </c>
      <c r="E788" s="4" t="s">
        <v>1738</v>
      </c>
      <c r="F788" s="5">
        <v>0.8</v>
      </c>
      <c r="G788" s="6">
        <v>7</v>
      </c>
      <c r="H788" s="7">
        <v>410</v>
      </c>
      <c r="I788" s="7">
        <v>480</v>
      </c>
      <c r="J788" s="7">
        <v>550</v>
      </c>
      <c r="K788" s="7">
        <f>H788*G788</f>
        <v>2870</v>
      </c>
      <c r="L788" s="7">
        <f>I788*G788</f>
        <v>3360</v>
      </c>
      <c r="M788" s="14">
        <f t="shared" si="42"/>
        <v>3850</v>
      </c>
    </row>
    <row r="789" spans="1:13" x14ac:dyDescent="0.35">
      <c r="A789" s="3" t="s">
        <v>1713</v>
      </c>
      <c r="B789" s="8" t="s">
        <v>1857</v>
      </c>
      <c r="C789" s="3" t="s">
        <v>1736</v>
      </c>
      <c r="D789" s="4" t="s">
        <v>1739</v>
      </c>
      <c r="E789" s="4" t="s">
        <v>1740</v>
      </c>
      <c r="F789" s="5">
        <v>5.0000000000000001E-3</v>
      </c>
      <c r="G789" s="6">
        <v>9</v>
      </c>
      <c r="H789" s="7">
        <v>18.059999999999999</v>
      </c>
      <c r="I789" s="7">
        <v>25</v>
      </c>
      <c r="J789" s="7">
        <v>25</v>
      </c>
      <c r="K789" s="7">
        <f>H789*G789</f>
        <v>162.54</v>
      </c>
      <c r="L789" s="7">
        <f>I789*G789</f>
        <v>225</v>
      </c>
      <c r="M789" s="14">
        <f t="shared" si="42"/>
        <v>225</v>
      </c>
    </row>
    <row r="790" spans="1:13" x14ac:dyDescent="0.35">
      <c r="A790" s="3" t="s">
        <v>1713</v>
      </c>
      <c r="B790" s="8" t="s">
        <v>1741</v>
      </c>
      <c r="C790" s="3" t="s">
        <v>1741</v>
      </c>
      <c r="D790" s="4" t="s">
        <v>1742</v>
      </c>
      <c r="E790" s="4" t="s">
        <v>1743</v>
      </c>
      <c r="F790" s="5">
        <v>0.9</v>
      </c>
      <c r="G790" s="6">
        <v>3</v>
      </c>
      <c r="H790" s="7">
        <v>1574</v>
      </c>
      <c r="I790" s="7">
        <v>1700</v>
      </c>
      <c r="J790" s="7">
        <v>1700</v>
      </c>
      <c r="K790" s="7">
        <f t="shared" si="43"/>
        <v>4722</v>
      </c>
      <c r="L790" s="7">
        <f t="shared" si="44"/>
        <v>5100</v>
      </c>
      <c r="M790" s="14">
        <f t="shared" si="42"/>
        <v>5100</v>
      </c>
    </row>
    <row r="791" spans="1:13" x14ac:dyDescent="0.35">
      <c r="A791" s="3" t="s">
        <v>1713</v>
      </c>
      <c r="B791" s="8" t="s">
        <v>1741</v>
      </c>
      <c r="C791" s="3" t="s">
        <v>1741</v>
      </c>
      <c r="D791" s="4" t="s">
        <v>1744</v>
      </c>
      <c r="E791" s="4" t="s">
        <v>1745</v>
      </c>
      <c r="F791" s="5">
        <v>0.17</v>
      </c>
      <c r="G791" s="6">
        <v>3</v>
      </c>
      <c r="H791" s="7">
        <v>345</v>
      </c>
      <c r="I791" s="7">
        <v>370</v>
      </c>
      <c r="J791" s="7">
        <v>380</v>
      </c>
      <c r="K791" s="7">
        <f t="shared" si="43"/>
        <v>1035</v>
      </c>
      <c r="L791" s="7">
        <f t="shared" si="44"/>
        <v>1110</v>
      </c>
      <c r="M791" s="14">
        <f t="shared" si="42"/>
        <v>1140</v>
      </c>
    </row>
    <row r="792" spans="1:13" x14ac:dyDescent="0.35">
      <c r="A792" s="3" t="s">
        <v>1713</v>
      </c>
      <c r="B792" s="8" t="s">
        <v>1741</v>
      </c>
      <c r="C792" s="3" t="s">
        <v>1741</v>
      </c>
      <c r="D792" s="4" t="s">
        <v>1746</v>
      </c>
      <c r="E792" s="4" t="s">
        <v>1747</v>
      </c>
      <c r="F792" s="5">
        <v>8.5000000000000006E-2</v>
      </c>
      <c r="G792" s="6">
        <v>9</v>
      </c>
      <c r="H792" s="7">
        <v>175</v>
      </c>
      <c r="I792" s="7">
        <v>185</v>
      </c>
      <c r="J792" s="7">
        <v>185</v>
      </c>
      <c r="K792" s="7">
        <f t="shared" si="43"/>
        <v>1575</v>
      </c>
      <c r="L792" s="7">
        <f t="shared" si="44"/>
        <v>1665</v>
      </c>
      <c r="M792" s="14">
        <f t="shared" si="42"/>
        <v>1665</v>
      </c>
    </row>
    <row r="793" spans="1:13" x14ac:dyDescent="0.35">
      <c r="A793" s="3" t="s">
        <v>1713</v>
      </c>
      <c r="B793" s="8" t="s">
        <v>1741</v>
      </c>
      <c r="C793" s="3" t="s">
        <v>1741</v>
      </c>
      <c r="D793" s="4" t="s">
        <v>1748</v>
      </c>
      <c r="E793" s="4" t="s">
        <v>1749</v>
      </c>
      <c r="F793" s="5">
        <v>2.5000000000000001E-2</v>
      </c>
      <c r="G793" s="6">
        <v>12</v>
      </c>
      <c r="H793" s="7">
        <v>44</v>
      </c>
      <c r="I793" s="7">
        <v>50</v>
      </c>
      <c r="J793" s="7">
        <v>50</v>
      </c>
      <c r="K793" s="7">
        <f t="shared" si="43"/>
        <v>528</v>
      </c>
      <c r="L793" s="7">
        <f t="shared" si="44"/>
        <v>600</v>
      </c>
      <c r="M793" s="14">
        <f t="shared" si="42"/>
        <v>600</v>
      </c>
    </row>
    <row r="794" spans="1:13" x14ac:dyDescent="0.35">
      <c r="A794" s="3" t="s">
        <v>1713</v>
      </c>
      <c r="B794" s="8" t="s">
        <v>1741</v>
      </c>
      <c r="C794" s="3" t="s">
        <v>1741</v>
      </c>
      <c r="D794" s="4" t="s">
        <v>1750</v>
      </c>
      <c r="E794" s="4" t="s">
        <v>1751</v>
      </c>
      <c r="F794" s="5">
        <v>1.2999999999999999E-2</v>
      </c>
      <c r="G794" s="6">
        <v>-7</v>
      </c>
      <c r="H794" s="7">
        <v>26.2</v>
      </c>
      <c r="I794" s="7">
        <v>30</v>
      </c>
      <c r="J794" s="7">
        <v>30</v>
      </c>
      <c r="K794" s="7">
        <f t="shared" si="43"/>
        <v>-183.4</v>
      </c>
      <c r="L794" s="7">
        <f t="shared" si="44"/>
        <v>-210</v>
      </c>
      <c r="M794" s="14">
        <f t="shared" si="42"/>
        <v>-210</v>
      </c>
    </row>
    <row r="795" spans="1:13" x14ac:dyDescent="0.35">
      <c r="A795" s="3" t="s">
        <v>1713</v>
      </c>
      <c r="B795" s="8" t="s">
        <v>1741</v>
      </c>
      <c r="C795" s="3" t="s">
        <v>1741</v>
      </c>
      <c r="D795" s="4" t="s">
        <v>1752</v>
      </c>
      <c r="E795" s="4" t="s">
        <v>1753</v>
      </c>
      <c r="F795" s="5">
        <v>0.17</v>
      </c>
      <c r="G795" s="6">
        <v>8</v>
      </c>
      <c r="H795" s="7">
        <v>316</v>
      </c>
      <c r="I795" s="7">
        <v>350</v>
      </c>
      <c r="J795" s="7">
        <v>380</v>
      </c>
      <c r="K795" s="7">
        <f t="shared" si="43"/>
        <v>2528</v>
      </c>
      <c r="L795" s="7">
        <f t="shared" si="44"/>
        <v>2800</v>
      </c>
      <c r="M795" s="14">
        <f t="shared" si="42"/>
        <v>3040</v>
      </c>
    </row>
    <row r="796" spans="1:13" x14ac:dyDescent="0.35">
      <c r="A796" s="3" t="s">
        <v>1713</v>
      </c>
      <c r="B796" s="8" t="s">
        <v>1741</v>
      </c>
      <c r="C796" s="3" t="s">
        <v>1741</v>
      </c>
      <c r="D796" s="4" t="s">
        <v>1754</v>
      </c>
      <c r="E796" s="4" t="s">
        <v>1755</v>
      </c>
      <c r="F796" s="5">
        <v>8.5000000000000006E-2</v>
      </c>
      <c r="G796" s="6">
        <v>20</v>
      </c>
      <c r="H796" s="7">
        <v>169</v>
      </c>
      <c r="I796" s="7">
        <v>190</v>
      </c>
      <c r="J796" s="7">
        <v>190</v>
      </c>
      <c r="K796" s="7">
        <f t="shared" si="43"/>
        <v>3380</v>
      </c>
      <c r="L796" s="7">
        <f t="shared" si="44"/>
        <v>3800</v>
      </c>
      <c r="M796" s="14">
        <f t="shared" si="42"/>
        <v>3800</v>
      </c>
    </row>
    <row r="797" spans="1:13" x14ac:dyDescent="0.35">
      <c r="A797" s="3" t="s">
        <v>1713</v>
      </c>
      <c r="B797" s="8" t="s">
        <v>1858</v>
      </c>
      <c r="C797" s="3" t="s">
        <v>1756</v>
      </c>
      <c r="D797" s="4" t="s">
        <v>1757</v>
      </c>
      <c r="E797" s="4" t="s">
        <v>1758</v>
      </c>
      <c r="F797" s="5">
        <v>0.9</v>
      </c>
      <c r="G797" s="6">
        <v>3</v>
      </c>
      <c r="H797" s="7">
        <v>1649.67</v>
      </c>
      <c r="I797" s="7">
        <v>1700</v>
      </c>
      <c r="J797" s="7">
        <v>1800</v>
      </c>
      <c r="K797" s="7">
        <f t="shared" si="43"/>
        <v>4949.01</v>
      </c>
      <c r="L797" s="7">
        <f t="shared" si="44"/>
        <v>5100</v>
      </c>
      <c r="M797" s="14">
        <f t="shared" si="42"/>
        <v>5400</v>
      </c>
    </row>
    <row r="798" spans="1:13" x14ac:dyDescent="0.35">
      <c r="A798" s="3" t="s">
        <v>1713</v>
      </c>
      <c r="B798" s="8" t="s">
        <v>1858</v>
      </c>
      <c r="C798" s="3" t="s">
        <v>1756</v>
      </c>
      <c r="D798" s="4" t="s">
        <v>1759</v>
      </c>
      <c r="E798" s="4" t="s">
        <v>1760</v>
      </c>
      <c r="F798" s="5">
        <v>2.8000000000000001E-2</v>
      </c>
      <c r="G798" s="6">
        <v>5</v>
      </c>
      <c r="H798" s="7">
        <v>45.82</v>
      </c>
      <c r="I798" s="7">
        <v>50</v>
      </c>
      <c r="J798" s="7">
        <v>50</v>
      </c>
      <c r="K798" s="7">
        <f t="shared" si="43"/>
        <v>229.1</v>
      </c>
      <c r="L798" s="7">
        <f t="shared" si="44"/>
        <v>250</v>
      </c>
      <c r="M798" s="14">
        <f t="shared" si="42"/>
        <v>250</v>
      </c>
    </row>
    <row r="799" spans="1:13" x14ac:dyDescent="0.35">
      <c r="A799" s="3" t="s">
        <v>1713</v>
      </c>
      <c r="B799" s="8" t="s">
        <v>1858</v>
      </c>
      <c r="C799" s="3" t="s">
        <v>1756</v>
      </c>
      <c r="D799" s="4" t="s">
        <v>1761</v>
      </c>
      <c r="E799" s="4" t="s">
        <v>1762</v>
      </c>
      <c r="F799" s="5">
        <v>0.1</v>
      </c>
      <c r="G799" s="6">
        <v>2</v>
      </c>
      <c r="H799" s="7">
        <v>261.3</v>
      </c>
      <c r="I799" s="7">
        <v>300</v>
      </c>
      <c r="J799" s="7">
        <v>300</v>
      </c>
      <c r="K799" s="7">
        <f t="shared" si="43"/>
        <v>522.6</v>
      </c>
      <c r="L799" s="7">
        <f t="shared" si="44"/>
        <v>600</v>
      </c>
      <c r="M799" s="14">
        <f t="shared" si="42"/>
        <v>600</v>
      </c>
    </row>
    <row r="800" spans="1:13" x14ac:dyDescent="0.35">
      <c r="A800" s="3" t="s">
        <v>1713</v>
      </c>
      <c r="B800" s="8" t="s">
        <v>1858</v>
      </c>
      <c r="C800" s="3" t="s">
        <v>1756</v>
      </c>
      <c r="D800" s="4" t="s">
        <v>1763</v>
      </c>
      <c r="E800" s="4" t="s">
        <v>1764</v>
      </c>
      <c r="F800" s="5">
        <v>0.05</v>
      </c>
      <c r="G800" s="6">
        <v>4</v>
      </c>
      <c r="H800" s="7">
        <v>215.83</v>
      </c>
      <c r="I800" s="7">
        <v>250</v>
      </c>
      <c r="J800" s="7">
        <v>250</v>
      </c>
      <c r="K800" s="7">
        <f t="shared" si="43"/>
        <v>863.32</v>
      </c>
      <c r="L800" s="7">
        <f t="shared" si="44"/>
        <v>1000</v>
      </c>
      <c r="M800" s="14">
        <f t="shared" si="42"/>
        <v>1000</v>
      </c>
    </row>
    <row r="801" spans="1:13" x14ac:dyDescent="0.35">
      <c r="A801" s="3" t="s">
        <v>1713</v>
      </c>
      <c r="B801" s="8" t="s">
        <v>1858</v>
      </c>
      <c r="C801" s="3" t="s">
        <v>1756</v>
      </c>
      <c r="D801" s="4" t="s">
        <v>1765</v>
      </c>
      <c r="E801" s="4" t="s">
        <v>1766</v>
      </c>
      <c r="F801" s="5">
        <v>8.5000000000000006E-2</v>
      </c>
      <c r="G801" s="6">
        <v>9</v>
      </c>
      <c r="H801" s="7">
        <v>166.5</v>
      </c>
      <c r="I801" s="7">
        <v>190</v>
      </c>
      <c r="J801" s="7">
        <v>190</v>
      </c>
      <c r="K801" s="7">
        <f t="shared" si="43"/>
        <v>1498.5</v>
      </c>
      <c r="L801" s="7">
        <f t="shared" si="44"/>
        <v>1710</v>
      </c>
      <c r="M801" s="14">
        <f t="shared" si="42"/>
        <v>1710</v>
      </c>
    </row>
    <row r="802" spans="1:13" x14ac:dyDescent="0.35">
      <c r="A802" s="3" t="s">
        <v>1713</v>
      </c>
      <c r="B802" s="8" t="s">
        <v>1858</v>
      </c>
      <c r="C802" s="3" t="s">
        <v>1756</v>
      </c>
      <c r="D802" s="4" t="s">
        <v>1767</v>
      </c>
      <c r="E802" s="4" t="s">
        <v>1768</v>
      </c>
      <c r="F802" s="5">
        <v>0.17</v>
      </c>
      <c r="G802" s="6">
        <v>18</v>
      </c>
      <c r="H802" s="7">
        <v>345.56</v>
      </c>
      <c r="I802" s="7">
        <v>370</v>
      </c>
      <c r="J802" s="7">
        <v>380</v>
      </c>
      <c r="K802" s="7">
        <f t="shared" si="43"/>
        <v>6220.08</v>
      </c>
      <c r="L802" s="7">
        <f t="shared" si="44"/>
        <v>6660</v>
      </c>
      <c r="M802" s="14">
        <f t="shared" si="42"/>
        <v>6840</v>
      </c>
    </row>
    <row r="803" spans="1:13" x14ac:dyDescent="0.35">
      <c r="A803" s="3" t="s">
        <v>1713</v>
      </c>
      <c r="B803" s="8" t="s">
        <v>1858</v>
      </c>
      <c r="C803" s="3" t="s">
        <v>1756</v>
      </c>
      <c r="D803" s="4" t="s">
        <v>1769</v>
      </c>
      <c r="E803" s="4" t="s">
        <v>1770</v>
      </c>
      <c r="F803" s="5">
        <v>0.17</v>
      </c>
      <c r="G803" s="6">
        <v>6</v>
      </c>
      <c r="H803" s="7">
        <v>350.99</v>
      </c>
      <c r="I803" s="7">
        <v>370</v>
      </c>
      <c r="J803" s="7">
        <v>380</v>
      </c>
      <c r="K803" s="7">
        <f t="shared" si="43"/>
        <v>2105.94</v>
      </c>
      <c r="L803" s="7">
        <f t="shared" si="44"/>
        <v>2220</v>
      </c>
      <c r="M803" s="14">
        <f t="shared" si="42"/>
        <v>2280</v>
      </c>
    </row>
    <row r="804" spans="1:13" x14ac:dyDescent="0.35">
      <c r="A804" s="3" t="s">
        <v>1713</v>
      </c>
      <c r="B804" s="8" t="s">
        <v>1858</v>
      </c>
      <c r="C804" s="3" t="s">
        <v>1756</v>
      </c>
      <c r="D804" s="4" t="s">
        <v>1771</v>
      </c>
      <c r="E804" s="4" t="s">
        <v>1772</v>
      </c>
      <c r="F804" s="5">
        <v>0.1</v>
      </c>
      <c r="G804" s="6">
        <v>2</v>
      </c>
      <c r="H804" s="7">
        <v>261.3</v>
      </c>
      <c r="I804" s="7">
        <v>300</v>
      </c>
      <c r="J804" s="7">
        <v>300</v>
      </c>
      <c r="K804" s="7">
        <f t="shared" si="43"/>
        <v>522.6</v>
      </c>
      <c r="L804" s="7">
        <f t="shared" si="44"/>
        <v>600</v>
      </c>
      <c r="M804" s="14">
        <f t="shared" si="42"/>
        <v>600</v>
      </c>
    </row>
    <row r="805" spans="1:13" x14ac:dyDescent="0.35">
      <c r="A805" s="3" t="s">
        <v>1713</v>
      </c>
      <c r="B805" s="8" t="s">
        <v>1858</v>
      </c>
      <c r="C805" s="3" t="s">
        <v>1756</v>
      </c>
      <c r="D805" s="4" t="s">
        <v>1773</v>
      </c>
      <c r="E805" s="4" t="s">
        <v>1774</v>
      </c>
      <c r="F805" s="5">
        <v>2.7E-2</v>
      </c>
      <c r="G805" s="6">
        <v>32</v>
      </c>
      <c r="H805" s="7">
        <v>46.17</v>
      </c>
      <c r="I805" s="7">
        <v>50</v>
      </c>
      <c r="J805" s="7">
        <v>50</v>
      </c>
      <c r="K805" s="7">
        <f t="shared" si="43"/>
        <v>1477.44</v>
      </c>
      <c r="L805" s="7">
        <f t="shared" si="44"/>
        <v>1600</v>
      </c>
      <c r="M805" s="14">
        <f t="shared" si="42"/>
        <v>1600</v>
      </c>
    </row>
    <row r="806" spans="1:13" x14ac:dyDescent="0.35">
      <c r="A806" s="3" t="s">
        <v>1713</v>
      </c>
      <c r="B806" s="8" t="s">
        <v>1858</v>
      </c>
      <c r="C806" s="3" t="s">
        <v>1756</v>
      </c>
      <c r="D806" s="4" t="s">
        <v>1775</v>
      </c>
      <c r="E806" s="4" t="s">
        <v>1776</v>
      </c>
      <c r="F806" s="5">
        <v>1.4E-2</v>
      </c>
      <c r="G806" s="6">
        <v>15</v>
      </c>
      <c r="H806" s="7">
        <v>27.72</v>
      </c>
      <c r="I806" s="7">
        <v>30</v>
      </c>
      <c r="J806" s="7">
        <v>30</v>
      </c>
      <c r="K806" s="7">
        <f t="shared" si="43"/>
        <v>415.79999999999995</v>
      </c>
      <c r="L806" s="7">
        <f t="shared" si="44"/>
        <v>450</v>
      </c>
      <c r="M806" s="14">
        <f t="shared" si="42"/>
        <v>450</v>
      </c>
    </row>
    <row r="807" spans="1:13" x14ac:dyDescent="0.35">
      <c r="A807" s="3" t="s">
        <v>1713</v>
      </c>
      <c r="B807" s="8" t="s">
        <v>1858</v>
      </c>
      <c r="C807" s="3" t="s">
        <v>1756</v>
      </c>
      <c r="D807" s="4" t="s">
        <v>1777</v>
      </c>
      <c r="E807" s="4" t="s">
        <v>1778</v>
      </c>
      <c r="F807" s="5">
        <v>0.05</v>
      </c>
      <c r="G807" s="6">
        <v>47</v>
      </c>
      <c r="H807" s="7">
        <v>89.2</v>
      </c>
      <c r="I807" s="7">
        <v>99</v>
      </c>
      <c r="J807" s="7">
        <v>99</v>
      </c>
      <c r="K807" s="7">
        <f t="shared" si="43"/>
        <v>4192.4000000000005</v>
      </c>
      <c r="L807" s="7">
        <f t="shared" si="44"/>
        <v>4653</v>
      </c>
      <c r="M807" s="14">
        <f t="shared" si="42"/>
        <v>4653</v>
      </c>
    </row>
    <row r="808" spans="1:13" x14ac:dyDescent="0.35">
      <c r="A808" s="3" t="s">
        <v>1713</v>
      </c>
      <c r="B808" s="8" t="s">
        <v>1858</v>
      </c>
      <c r="C808" s="3" t="s">
        <v>1756</v>
      </c>
      <c r="D808" s="4" t="s">
        <v>1779</v>
      </c>
      <c r="E808" s="4" t="s">
        <v>1780</v>
      </c>
      <c r="F808" s="5">
        <v>1.7999999999999999E-2</v>
      </c>
      <c r="G808" s="6">
        <v>2</v>
      </c>
      <c r="H808" s="7">
        <v>90</v>
      </c>
      <c r="I808" s="7">
        <v>100</v>
      </c>
      <c r="J808" s="7">
        <v>100</v>
      </c>
      <c r="K808" s="7">
        <f t="shared" si="43"/>
        <v>180</v>
      </c>
      <c r="L808" s="7">
        <f t="shared" si="44"/>
        <v>200</v>
      </c>
      <c r="M808" s="14">
        <f t="shared" si="42"/>
        <v>200</v>
      </c>
    </row>
    <row r="809" spans="1:13" x14ac:dyDescent="0.35">
      <c r="A809" s="3" t="s">
        <v>1713</v>
      </c>
      <c r="B809" s="8" t="s">
        <v>1858</v>
      </c>
      <c r="C809" s="3" t="s">
        <v>1756</v>
      </c>
      <c r="D809" s="4" t="s">
        <v>1781</v>
      </c>
      <c r="E809" s="4" t="s">
        <v>1782</v>
      </c>
      <c r="F809" s="5">
        <v>0.43</v>
      </c>
      <c r="G809" s="6">
        <v>-3</v>
      </c>
      <c r="H809" s="7">
        <v>790</v>
      </c>
      <c r="I809" s="7">
        <v>870</v>
      </c>
      <c r="J809" s="7">
        <v>850</v>
      </c>
      <c r="K809" s="7">
        <f t="shared" si="43"/>
        <v>-2370</v>
      </c>
      <c r="L809" s="7">
        <f t="shared" si="44"/>
        <v>-2610</v>
      </c>
      <c r="M809" s="14">
        <f t="shared" si="42"/>
        <v>-2550</v>
      </c>
    </row>
    <row r="810" spans="1:13" x14ac:dyDescent="0.35">
      <c r="A810" s="3" t="s">
        <v>1713</v>
      </c>
      <c r="B810" s="8" t="s">
        <v>1858</v>
      </c>
      <c r="C810" s="3" t="s">
        <v>1756</v>
      </c>
      <c r="D810" s="4" t="s">
        <v>1783</v>
      </c>
      <c r="E810" s="4" t="s">
        <v>1784</v>
      </c>
      <c r="F810" s="5">
        <v>8.5000000000000006E-2</v>
      </c>
      <c r="G810" s="6">
        <v>1</v>
      </c>
      <c r="H810" s="7">
        <v>176.12</v>
      </c>
      <c r="I810" s="7">
        <v>190</v>
      </c>
      <c r="J810" s="7">
        <v>190</v>
      </c>
      <c r="K810" s="7">
        <f t="shared" si="43"/>
        <v>176.12</v>
      </c>
      <c r="L810" s="7">
        <f t="shared" si="44"/>
        <v>190</v>
      </c>
      <c r="M810" s="14">
        <f t="shared" si="42"/>
        <v>190</v>
      </c>
    </row>
    <row r="811" spans="1:13" x14ac:dyDescent="0.35">
      <c r="A811" s="3" t="s">
        <v>1713</v>
      </c>
      <c r="B811" s="8" t="s">
        <v>1858</v>
      </c>
      <c r="C811" s="3" t="s">
        <v>1756</v>
      </c>
      <c r="D811" s="4" t="s">
        <v>1785</v>
      </c>
      <c r="E811" s="4" t="s">
        <v>1786</v>
      </c>
      <c r="F811" s="5">
        <v>0.35</v>
      </c>
      <c r="G811" s="6">
        <v>3</v>
      </c>
      <c r="H811" s="7">
        <v>662.33</v>
      </c>
      <c r="I811" s="7">
        <v>700</v>
      </c>
      <c r="J811" s="7">
        <v>720</v>
      </c>
      <c r="K811" s="7">
        <f t="shared" si="43"/>
        <v>1986.9900000000002</v>
      </c>
      <c r="L811" s="7">
        <f t="shared" si="44"/>
        <v>2100</v>
      </c>
      <c r="M811" s="14">
        <f t="shared" si="42"/>
        <v>2160</v>
      </c>
    </row>
    <row r="812" spans="1:13" x14ac:dyDescent="0.35">
      <c r="A812" s="3" t="s">
        <v>1713</v>
      </c>
      <c r="B812" s="8" t="s">
        <v>1858</v>
      </c>
      <c r="C812" s="3" t="s">
        <v>1756</v>
      </c>
      <c r="D812" s="4" t="s">
        <v>1787</v>
      </c>
      <c r="E812" s="4" t="s">
        <v>1788</v>
      </c>
      <c r="F812" s="5">
        <v>0.43</v>
      </c>
      <c r="G812" s="6">
        <v>4</v>
      </c>
      <c r="H812" s="7">
        <v>828.65</v>
      </c>
      <c r="I812" s="7">
        <v>870</v>
      </c>
      <c r="J812" s="7">
        <v>870</v>
      </c>
      <c r="K812" s="7">
        <f t="shared" si="43"/>
        <v>3314.6</v>
      </c>
      <c r="L812" s="7">
        <f t="shared" si="44"/>
        <v>3480</v>
      </c>
      <c r="M812" s="14">
        <f t="shared" si="42"/>
        <v>3480</v>
      </c>
    </row>
    <row r="813" spans="1:13" x14ac:dyDescent="0.35">
      <c r="A813" s="3" t="s">
        <v>1713</v>
      </c>
      <c r="B813" s="8" t="s">
        <v>1858</v>
      </c>
      <c r="C813" s="3" t="s">
        <v>1756</v>
      </c>
      <c r="D813" s="4" t="s">
        <v>1789</v>
      </c>
      <c r="E813" s="4" t="s">
        <v>1790</v>
      </c>
      <c r="F813" s="5">
        <v>1.4E-2</v>
      </c>
      <c r="G813" s="6">
        <v>19</v>
      </c>
      <c r="H813" s="7">
        <v>27.13</v>
      </c>
      <c r="I813" s="7">
        <v>30</v>
      </c>
      <c r="J813" s="7">
        <v>30</v>
      </c>
      <c r="K813" s="7">
        <f t="shared" si="43"/>
        <v>515.47</v>
      </c>
      <c r="L813" s="7">
        <f t="shared" si="44"/>
        <v>570</v>
      </c>
      <c r="M813" s="14">
        <f t="shared" si="42"/>
        <v>570</v>
      </c>
    </row>
    <row r="814" spans="1:13" x14ac:dyDescent="0.35">
      <c r="A814" s="3" t="s">
        <v>1713</v>
      </c>
      <c r="B814" s="8" t="s">
        <v>1858</v>
      </c>
      <c r="C814" s="3" t="s">
        <v>1756</v>
      </c>
      <c r="D814" s="4" t="s">
        <v>1791</v>
      </c>
      <c r="E814" s="4" t="s">
        <v>1774</v>
      </c>
      <c r="F814" s="5">
        <v>2.7E-2</v>
      </c>
      <c r="G814" s="6">
        <v>2</v>
      </c>
      <c r="H814" s="7">
        <v>46.4</v>
      </c>
      <c r="I814" s="7">
        <v>50</v>
      </c>
      <c r="J814" s="7">
        <v>50</v>
      </c>
      <c r="K814" s="7">
        <f t="shared" si="43"/>
        <v>92.8</v>
      </c>
      <c r="L814" s="7">
        <f t="shared" si="44"/>
        <v>100</v>
      </c>
      <c r="M814" s="14">
        <f t="shared" si="42"/>
        <v>100</v>
      </c>
    </row>
    <row r="815" spans="1:13" x14ac:dyDescent="0.35">
      <c r="A815" s="3" t="s">
        <v>1713</v>
      </c>
      <c r="B815" s="8" t="s">
        <v>1858</v>
      </c>
      <c r="C815" s="3" t="s">
        <v>1756</v>
      </c>
      <c r="D815" s="4" t="s">
        <v>1792</v>
      </c>
      <c r="E815" s="4" t="s">
        <v>1793</v>
      </c>
      <c r="F815" s="5">
        <v>4.9000000000000002E-2</v>
      </c>
      <c r="G815" s="6">
        <v>7</v>
      </c>
      <c r="H815" s="7">
        <v>90</v>
      </c>
      <c r="I815" s="7">
        <v>100</v>
      </c>
      <c r="J815" s="7">
        <v>100</v>
      </c>
      <c r="K815" s="7">
        <f t="shared" si="43"/>
        <v>630</v>
      </c>
      <c r="L815" s="7">
        <f t="shared" si="44"/>
        <v>700</v>
      </c>
      <c r="M815" s="14">
        <f t="shared" si="42"/>
        <v>700</v>
      </c>
    </row>
    <row r="816" spans="1:13" x14ac:dyDescent="0.35">
      <c r="A816" s="3" t="s">
        <v>1713</v>
      </c>
      <c r="B816" s="8" t="s">
        <v>1858</v>
      </c>
      <c r="C816" s="3" t="s">
        <v>1756</v>
      </c>
      <c r="D816" s="4" t="s">
        <v>1794</v>
      </c>
      <c r="E816" s="4" t="s">
        <v>1795</v>
      </c>
      <c r="F816" s="5">
        <v>8.5000000000000006E-2</v>
      </c>
      <c r="G816" s="6">
        <v>5</v>
      </c>
      <c r="H816" s="7">
        <v>175</v>
      </c>
      <c r="I816" s="7">
        <v>190</v>
      </c>
      <c r="J816" s="7">
        <v>190</v>
      </c>
      <c r="K816" s="7">
        <f t="shared" si="43"/>
        <v>875</v>
      </c>
      <c r="L816" s="7">
        <f t="shared" si="44"/>
        <v>950</v>
      </c>
      <c r="M816" s="14">
        <f t="shared" si="42"/>
        <v>950</v>
      </c>
    </row>
    <row r="817" spans="1:13" x14ac:dyDescent="0.35">
      <c r="A817" s="3" t="s">
        <v>1713</v>
      </c>
      <c r="B817" s="8" t="s">
        <v>1858</v>
      </c>
      <c r="C817" s="3" t="s">
        <v>1756</v>
      </c>
      <c r="D817" s="4" t="s">
        <v>1796</v>
      </c>
      <c r="E817" s="4" t="s">
        <v>1768</v>
      </c>
      <c r="F817" s="5">
        <v>0.17</v>
      </c>
      <c r="G817" s="6">
        <v>4</v>
      </c>
      <c r="H817" s="7">
        <v>350.67</v>
      </c>
      <c r="I817" s="7">
        <v>370</v>
      </c>
      <c r="J817" s="7">
        <v>380</v>
      </c>
      <c r="K817" s="7">
        <f t="shared" si="43"/>
        <v>1402.68</v>
      </c>
      <c r="L817" s="7">
        <f t="shared" si="44"/>
        <v>1480</v>
      </c>
      <c r="M817" s="14">
        <f t="shared" si="42"/>
        <v>1520</v>
      </c>
    </row>
    <row r="818" spans="1:13" x14ac:dyDescent="0.35">
      <c r="A818" s="3" t="s">
        <v>1713</v>
      </c>
      <c r="B818" s="8" t="s">
        <v>1858</v>
      </c>
      <c r="C818" s="3" t="s">
        <v>1756</v>
      </c>
      <c r="D818" s="4" t="s">
        <v>1797</v>
      </c>
      <c r="E818" s="4" t="s">
        <v>1798</v>
      </c>
      <c r="F818" s="5">
        <v>0.05</v>
      </c>
      <c r="G818" s="6">
        <v>2</v>
      </c>
      <c r="H818" s="7">
        <v>225</v>
      </c>
      <c r="I818" s="7">
        <v>250</v>
      </c>
      <c r="J818" s="7">
        <v>250</v>
      </c>
      <c r="K818" s="7">
        <f t="shared" si="43"/>
        <v>450</v>
      </c>
      <c r="L818" s="7">
        <f t="shared" si="44"/>
        <v>500</v>
      </c>
      <c r="M818" s="14">
        <f t="shared" si="42"/>
        <v>500</v>
      </c>
    </row>
    <row r="819" spans="1:13" x14ac:dyDescent="0.35">
      <c r="A819" s="3" t="s">
        <v>1713</v>
      </c>
      <c r="B819" s="8" t="s">
        <v>1858</v>
      </c>
      <c r="C819" s="3" t="s">
        <v>1756</v>
      </c>
      <c r="D819" s="4" t="s">
        <v>1799</v>
      </c>
      <c r="E819" s="4" t="s">
        <v>1800</v>
      </c>
      <c r="F819" s="5">
        <v>0.06</v>
      </c>
      <c r="G819" s="6">
        <v>2</v>
      </c>
      <c r="H819" s="7">
        <v>225</v>
      </c>
      <c r="I819" s="7">
        <v>250</v>
      </c>
      <c r="J819" s="7">
        <v>250</v>
      </c>
      <c r="K819" s="7">
        <f t="shared" si="43"/>
        <v>450</v>
      </c>
      <c r="L819" s="7">
        <f t="shared" si="44"/>
        <v>500</v>
      </c>
      <c r="M819" s="14">
        <f t="shared" si="42"/>
        <v>500</v>
      </c>
    </row>
    <row r="820" spans="1:13" x14ac:dyDescent="0.35">
      <c r="A820" s="3" t="s">
        <v>1713</v>
      </c>
      <c r="B820" s="8" t="s">
        <v>1858</v>
      </c>
      <c r="C820" s="3" t="s">
        <v>1756</v>
      </c>
      <c r="D820" s="4" t="s">
        <v>1801</v>
      </c>
      <c r="E820" s="4" t="s">
        <v>1802</v>
      </c>
      <c r="F820" s="5">
        <v>6.4000000000000001E-2</v>
      </c>
      <c r="G820" s="6">
        <v>1</v>
      </c>
      <c r="H820" s="7">
        <v>235</v>
      </c>
      <c r="I820" s="7">
        <v>260</v>
      </c>
      <c r="J820" s="7">
        <v>260</v>
      </c>
      <c r="K820" s="7">
        <f t="shared" si="43"/>
        <v>235</v>
      </c>
      <c r="L820" s="7">
        <f t="shared" si="44"/>
        <v>260</v>
      </c>
      <c r="M820" s="14">
        <f t="shared" si="42"/>
        <v>260</v>
      </c>
    </row>
    <row r="821" spans="1:13" x14ac:dyDescent="0.35">
      <c r="A821" s="3" t="s">
        <v>1713</v>
      </c>
      <c r="B821" s="8" t="s">
        <v>1858</v>
      </c>
      <c r="C821" s="3" t="s">
        <v>1756</v>
      </c>
      <c r="D821" s="4" t="s">
        <v>1803</v>
      </c>
      <c r="E821" s="4" t="s">
        <v>1804</v>
      </c>
      <c r="F821" s="5">
        <v>0.17</v>
      </c>
      <c r="G821" s="6">
        <v>4</v>
      </c>
      <c r="H821" s="7">
        <v>327</v>
      </c>
      <c r="I821" s="7">
        <v>360</v>
      </c>
      <c r="J821" s="7">
        <v>360</v>
      </c>
      <c r="K821" s="7">
        <f t="shared" si="43"/>
        <v>1308</v>
      </c>
      <c r="L821" s="7">
        <f t="shared" si="44"/>
        <v>1440</v>
      </c>
      <c r="M821" s="14">
        <f t="shared" si="42"/>
        <v>1440</v>
      </c>
    </row>
    <row r="822" spans="1:13" x14ac:dyDescent="0.35">
      <c r="A822" s="3" t="s">
        <v>1713</v>
      </c>
      <c r="B822" s="8" t="s">
        <v>1858</v>
      </c>
      <c r="C822" s="3" t="s">
        <v>1756</v>
      </c>
      <c r="D822" s="4" t="s">
        <v>1805</v>
      </c>
      <c r="E822" s="4" t="s">
        <v>1806</v>
      </c>
      <c r="F822" s="5">
        <v>0.43</v>
      </c>
      <c r="G822" s="6">
        <v>3</v>
      </c>
      <c r="H822" s="7">
        <v>770</v>
      </c>
      <c r="I822" s="7">
        <v>850</v>
      </c>
      <c r="J822" s="7">
        <v>850</v>
      </c>
      <c r="K822" s="7">
        <f t="shared" si="43"/>
        <v>2310</v>
      </c>
      <c r="L822" s="7">
        <f t="shared" si="44"/>
        <v>2550</v>
      </c>
      <c r="M822" s="14">
        <f t="shared" si="42"/>
        <v>2550</v>
      </c>
    </row>
    <row r="823" spans="1:13" x14ac:dyDescent="0.35">
      <c r="A823" s="3" t="s">
        <v>1713</v>
      </c>
      <c r="B823" s="8" t="s">
        <v>1858</v>
      </c>
      <c r="C823" s="3" t="s">
        <v>1756</v>
      </c>
      <c r="D823" s="4" t="s">
        <v>1807</v>
      </c>
      <c r="E823" s="4" t="s">
        <v>1808</v>
      </c>
      <c r="F823" s="5">
        <v>0.43</v>
      </c>
      <c r="G823" s="6">
        <v>19</v>
      </c>
      <c r="H823" s="7">
        <v>752.5</v>
      </c>
      <c r="I823" s="7">
        <v>820</v>
      </c>
      <c r="J823" s="7">
        <v>900</v>
      </c>
      <c r="K823" s="7">
        <f t="shared" si="43"/>
        <v>14297.5</v>
      </c>
      <c r="L823" s="7">
        <f t="shared" si="44"/>
        <v>15580</v>
      </c>
      <c r="M823" s="14">
        <f t="shared" si="42"/>
        <v>17100</v>
      </c>
    </row>
    <row r="824" spans="1:13" x14ac:dyDescent="0.35">
      <c r="A824" s="3" t="s">
        <v>1713</v>
      </c>
      <c r="B824" s="8" t="s">
        <v>1858</v>
      </c>
      <c r="C824" s="3" t="s">
        <v>1756</v>
      </c>
      <c r="D824" s="4" t="s">
        <v>1809</v>
      </c>
      <c r="E824" s="4" t="s">
        <v>1810</v>
      </c>
      <c r="F824" s="5">
        <v>0.9</v>
      </c>
      <c r="G824" s="6">
        <v>2</v>
      </c>
      <c r="H824" s="7">
        <v>1557.44</v>
      </c>
      <c r="I824" s="7">
        <v>1630</v>
      </c>
      <c r="J824" s="7">
        <v>1800</v>
      </c>
      <c r="K824" s="7">
        <f t="shared" si="43"/>
        <v>3114.88</v>
      </c>
      <c r="L824" s="7">
        <f t="shared" si="44"/>
        <v>3260</v>
      </c>
      <c r="M824" s="14">
        <f t="shared" si="42"/>
        <v>3600</v>
      </c>
    </row>
    <row r="825" spans="1:13" x14ac:dyDescent="0.35">
      <c r="A825" s="3" t="s">
        <v>1713</v>
      </c>
      <c r="B825" s="8" t="s">
        <v>1730</v>
      </c>
      <c r="C825" s="3" t="s">
        <v>1811</v>
      </c>
      <c r="D825" s="4" t="s">
        <v>1812</v>
      </c>
      <c r="E825" s="4" t="s">
        <v>1813</v>
      </c>
      <c r="F825" s="5">
        <v>7.0000000000000007E-2</v>
      </c>
      <c r="G825" s="6">
        <v>2</v>
      </c>
      <c r="H825" s="7">
        <v>367.31</v>
      </c>
      <c r="I825" s="7">
        <v>390</v>
      </c>
      <c r="J825" s="7">
        <v>400</v>
      </c>
      <c r="K825" s="7">
        <f t="shared" si="43"/>
        <v>734.62</v>
      </c>
      <c r="L825" s="7">
        <f t="shared" si="44"/>
        <v>780</v>
      </c>
      <c r="M825" s="14">
        <f t="shared" si="42"/>
        <v>800</v>
      </c>
    </row>
    <row r="826" spans="1:13" x14ac:dyDescent="0.35">
      <c r="A826" s="3" t="s">
        <v>1713</v>
      </c>
      <c r="B826" s="8" t="s">
        <v>1730</v>
      </c>
      <c r="C826" s="3" t="s">
        <v>1811</v>
      </c>
      <c r="D826" s="4" t="s">
        <v>1814</v>
      </c>
      <c r="E826" s="4" t="s">
        <v>1815</v>
      </c>
      <c r="F826" s="5">
        <v>0.43</v>
      </c>
      <c r="G826" s="6">
        <v>1</v>
      </c>
      <c r="H826" s="7">
        <v>978.63</v>
      </c>
      <c r="I826" s="7">
        <v>1030</v>
      </c>
      <c r="J826" s="7">
        <v>1050</v>
      </c>
      <c r="K826" s="7">
        <f t="shared" si="43"/>
        <v>978.63</v>
      </c>
      <c r="L826" s="7">
        <f t="shared" si="44"/>
        <v>1030</v>
      </c>
      <c r="M826" s="14">
        <f t="shared" si="42"/>
        <v>1050</v>
      </c>
    </row>
    <row r="827" spans="1:13" x14ac:dyDescent="0.35">
      <c r="A827" s="3" t="s">
        <v>1713</v>
      </c>
      <c r="B827" s="8" t="s">
        <v>1730</v>
      </c>
      <c r="C827" s="3" t="s">
        <v>1811</v>
      </c>
      <c r="D827" s="4" t="s">
        <v>1816</v>
      </c>
      <c r="E827" s="4" t="s">
        <v>1817</v>
      </c>
      <c r="F827" s="5">
        <v>0.17</v>
      </c>
      <c r="G827" s="6">
        <v>1</v>
      </c>
      <c r="H827" s="7">
        <v>382.39</v>
      </c>
      <c r="I827" s="7">
        <v>400</v>
      </c>
      <c r="J827" s="7">
        <v>400</v>
      </c>
      <c r="K827" s="7">
        <f t="shared" si="43"/>
        <v>382.39</v>
      </c>
      <c r="L827" s="7">
        <f t="shared" si="44"/>
        <v>400</v>
      </c>
      <c r="M827" s="14">
        <f t="shared" si="42"/>
        <v>400</v>
      </c>
    </row>
    <row r="828" spans="1:13" ht="15" customHeight="1" x14ac:dyDescent="0.35">
      <c r="A828" s="3" t="s">
        <v>1713</v>
      </c>
      <c r="B828" s="8" t="s">
        <v>1818</v>
      </c>
      <c r="C828" s="3" t="s">
        <v>1818</v>
      </c>
      <c r="D828" s="4" t="s">
        <v>1819</v>
      </c>
      <c r="E828" s="4" t="s">
        <v>1820</v>
      </c>
      <c r="F828" s="5">
        <v>1.5</v>
      </c>
      <c r="G828" s="6">
        <v>0</v>
      </c>
      <c r="H828" s="7">
        <v>53.34</v>
      </c>
      <c r="I828" s="7">
        <v>60</v>
      </c>
      <c r="J828" s="7">
        <v>60</v>
      </c>
      <c r="K828" s="7">
        <f t="shared" si="43"/>
        <v>0</v>
      </c>
      <c r="L828" s="7">
        <f t="shared" si="44"/>
        <v>0</v>
      </c>
      <c r="M828" s="14">
        <f t="shared" si="42"/>
        <v>0</v>
      </c>
    </row>
    <row r="829" spans="1:13" ht="21.75" customHeight="1" x14ac:dyDescent="0.35">
      <c r="A829" s="3" t="s">
        <v>1713</v>
      </c>
      <c r="B829" s="8" t="s">
        <v>1818</v>
      </c>
      <c r="C829" s="3" t="s">
        <v>1818</v>
      </c>
      <c r="D829" s="4" t="s">
        <v>1821</v>
      </c>
      <c r="E829" s="4" t="s">
        <v>1822</v>
      </c>
      <c r="F829" s="5">
        <v>0.9</v>
      </c>
      <c r="G829" s="6">
        <v>2</v>
      </c>
      <c r="H829" s="7">
        <v>103.34</v>
      </c>
      <c r="I829" s="7">
        <v>130</v>
      </c>
      <c r="J829" s="7">
        <v>130</v>
      </c>
      <c r="K829" s="7">
        <f t="shared" ref="K829:K834" si="45">H829*G829</f>
        <v>206.68</v>
      </c>
      <c r="L829" s="7">
        <f t="shared" ref="L829:L834" si="46">I829*G829</f>
        <v>260</v>
      </c>
      <c r="M829" s="14">
        <f t="shared" si="42"/>
        <v>260</v>
      </c>
    </row>
    <row r="830" spans="1:13" ht="18.75" customHeight="1" x14ac:dyDescent="0.35">
      <c r="A830" s="3" t="s">
        <v>938</v>
      </c>
      <c r="B830" s="3" t="s">
        <v>938</v>
      </c>
      <c r="C830" s="3" t="s">
        <v>1871</v>
      </c>
      <c r="D830" s="13">
        <v>8964003820282</v>
      </c>
      <c r="E830" s="4" t="s">
        <v>1872</v>
      </c>
      <c r="F830" s="5">
        <v>0.06</v>
      </c>
      <c r="G830" s="10">
        <v>1</v>
      </c>
      <c r="H830" s="7">
        <v>120</v>
      </c>
      <c r="I830" s="7">
        <v>180</v>
      </c>
      <c r="J830" s="7">
        <v>200</v>
      </c>
      <c r="K830" s="7">
        <f t="shared" si="45"/>
        <v>120</v>
      </c>
      <c r="L830" s="7">
        <f t="shared" si="46"/>
        <v>180</v>
      </c>
      <c r="M830" s="14">
        <f>J830*G830</f>
        <v>200</v>
      </c>
    </row>
    <row r="831" spans="1:13" ht="24" customHeight="1" x14ac:dyDescent="0.35">
      <c r="A831" s="3" t="s">
        <v>938</v>
      </c>
      <c r="B831" s="3" t="s">
        <v>938</v>
      </c>
      <c r="C831" s="3" t="s">
        <v>1873</v>
      </c>
      <c r="D831" s="13">
        <v>8964003520275</v>
      </c>
      <c r="E831" s="4" t="s">
        <v>1873</v>
      </c>
      <c r="F831" s="5">
        <v>0.06</v>
      </c>
      <c r="G831" s="10">
        <v>1</v>
      </c>
      <c r="H831" s="7">
        <v>120</v>
      </c>
      <c r="I831" s="7">
        <v>180</v>
      </c>
      <c r="J831" s="7">
        <v>200</v>
      </c>
      <c r="K831" s="7">
        <f t="shared" si="45"/>
        <v>120</v>
      </c>
      <c r="L831" s="7">
        <f t="shared" si="46"/>
        <v>180</v>
      </c>
      <c r="M831" s="14">
        <f>J831*G831</f>
        <v>200</v>
      </c>
    </row>
    <row r="832" spans="1:13" ht="12" customHeight="1" x14ac:dyDescent="0.35">
      <c r="A832" s="3" t="s">
        <v>938</v>
      </c>
      <c r="B832" s="8" t="s">
        <v>1842</v>
      </c>
      <c r="C832" s="3" t="s">
        <v>997</v>
      </c>
      <c r="D832" s="13">
        <v>6009679062405</v>
      </c>
      <c r="E832" s="4" t="s">
        <v>1870</v>
      </c>
      <c r="F832" s="5">
        <v>5.7000000000000002E-2</v>
      </c>
      <c r="G832" s="10">
        <v>1</v>
      </c>
      <c r="H832" s="7">
        <v>120</v>
      </c>
      <c r="I832" s="7">
        <v>150</v>
      </c>
      <c r="J832" s="7">
        <v>170</v>
      </c>
      <c r="K832" s="7">
        <f t="shared" si="45"/>
        <v>120</v>
      </c>
      <c r="L832" s="7">
        <f t="shared" si="46"/>
        <v>150</v>
      </c>
      <c r="M832" s="14">
        <f>J832*G832</f>
        <v>170</v>
      </c>
    </row>
    <row r="833" spans="1:13" ht="12" customHeight="1" x14ac:dyDescent="0.35">
      <c r="A833" s="3" t="s">
        <v>938</v>
      </c>
      <c r="B833" s="8" t="s">
        <v>1842</v>
      </c>
      <c r="C833" s="3" t="s">
        <v>1063</v>
      </c>
      <c r="D833" s="13">
        <v>8964002548569</v>
      </c>
      <c r="E833" s="4" t="s">
        <v>1094</v>
      </c>
      <c r="F833" s="5">
        <v>0.1</v>
      </c>
      <c r="G833" s="6">
        <v>5</v>
      </c>
      <c r="H833" s="7">
        <v>201</v>
      </c>
      <c r="I833" s="7">
        <v>250</v>
      </c>
      <c r="J833" s="7">
        <v>260</v>
      </c>
      <c r="K833" s="7">
        <f t="shared" si="45"/>
        <v>1005</v>
      </c>
      <c r="L833" s="7">
        <f t="shared" si="46"/>
        <v>1250</v>
      </c>
      <c r="M833" s="14">
        <f>J833*G833</f>
        <v>1300</v>
      </c>
    </row>
    <row r="834" spans="1:13" ht="12" customHeight="1" x14ac:dyDescent="0.35">
      <c r="A834" s="3" t="s">
        <v>938</v>
      </c>
      <c r="B834" s="8" t="s">
        <v>1842</v>
      </c>
      <c r="C834" s="3" t="s">
        <v>1063</v>
      </c>
      <c r="D834" s="13">
        <v>8964002548569</v>
      </c>
      <c r="E834" s="4" t="s">
        <v>1094</v>
      </c>
      <c r="F834" s="5">
        <v>0.1</v>
      </c>
      <c r="G834" s="6">
        <v>5</v>
      </c>
      <c r="H834" s="7">
        <v>201</v>
      </c>
      <c r="I834" s="7">
        <v>250</v>
      </c>
      <c r="J834" s="7">
        <v>260</v>
      </c>
      <c r="K834" s="7">
        <f t="shared" si="45"/>
        <v>1005</v>
      </c>
      <c r="L834" s="7">
        <f t="shared" si="46"/>
        <v>1250</v>
      </c>
      <c r="M834" s="14">
        <f>J834*G834</f>
        <v>1300</v>
      </c>
    </row>
    <row r="835" spans="1:13" x14ac:dyDescent="0.35">
      <c r="G835">
        <v>0</v>
      </c>
      <c r="K835" s="9">
        <f>SUM(K12:K834)</f>
        <v>712039.4291999999</v>
      </c>
      <c r="L835" s="9">
        <f>SUM(L12:L834)</f>
        <v>805625.7</v>
      </c>
      <c r="M835" s="9">
        <f>SUM(M12:M834)</f>
        <v>832668</v>
      </c>
    </row>
  </sheetData>
  <mergeCells count="6">
    <mergeCell ref="C2:E4"/>
    <mergeCell ref="K3:L3"/>
    <mergeCell ref="G6:G8"/>
    <mergeCell ref="H6:H9"/>
    <mergeCell ref="I6:I9"/>
    <mergeCell ref="C7:E7"/>
  </mergeCells>
  <pageMargins left="0" right="0.25" top="0.25" bottom="0.25" header="0.25" footer="0.25"/>
  <pageSetup paperSize="5"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443"/>
  <sheetViews>
    <sheetView tabSelected="1" zoomScale="70" zoomScaleNormal="70" workbookViewId="0">
      <selection activeCell="H24" sqref="H24"/>
    </sheetView>
  </sheetViews>
  <sheetFormatPr defaultRowHeight="14.5" x14ac:dyDescent="0.35"/>
  <cols>
    <col min="1" max="1" width="22" bestFit="1" customWidth="1"/>
    <col min="2" max="2" width="21" customWidth="1"/>
    <col min="3" max="3" width="15" customWidth="1"/>
    <col min="4" max="4" width="34.1796875" bestFit="1" customWidth="1"/>
    <col min="5" max="5" width="4.81640625" bestFit="1" customWidth="1"/>
    <col min="6" max="6" width="7.453125" customWidth="1"/>
    <col min="7" max="7" width="16.26953125" bestFit="1" customWidth="1"/>
  </cols>
  <sheetData>
    <row r="3" spans="1:6" x14ac:dyDescent="0.35">
      <c r="A3" s="33" t="s">
        <v>3</v>
      </c>
      <c r="B3" s="33" t="s">
        <v>4</v>
      </c>
      <c r="C3" s="33" t="s">
        <v>5</v>
      </c>
      <c r="D3" s="33" t="s">
        <v>6</v>
      </c>
      <c r="E3" t="s">
        <v>1905</v>
      </c>
      <c r="F3" s="17" t="s">
        <v>1906</v>
      </c>
    </row>
    <row r="4" spans="1:6" x14ac:dyDescent="0.35">
      <c r="A4" t="s">
        <v>1841</v>
      </c>
      <c r="B4" t="s">
        <v>969</v>
      </c>
      <c r="C4" t="s">
        <v>974</v>
      </c>
      <c r="D4" t="s">
        <v>975</v>
      </c>
      <c r="E4" s="40">
        <v>12</v>
      </c>
      <c r="F4" s="43">
        <v>80</v>
      </c>
    </row>
    <row r="5" spans="1:6" x14ac:dyDescent="0.35">
      <c r="B5" t="s">
        <v>942</v>
      </c>
      <c r="C5" t="s">
        <v>945</v>
      </c>
      <c r="D5" t="s">
        <v>946</v>
      </c>
      <c r="E5" s="40">
        <v>9</v>
      </c>
      <c r="F5" s="43">
        <v>50</v>
      </c>
    </row>
    <row r="6" spans="1:6" x14ac:dyDescent="0.35">
      <c r="C6" t="s">
        <v>953</v>
      </c>
      <c r="D6" t="s">
        <v>954</v>
      </c>
      <c r="E6" s="40">
        <v>3</v>
      </c>
      <c r="F6" s="43">
        <v>80</v>
      </c>
    </row>
    <row r="7" spans="1:6" x14ac:dyDescent="0.35">
      <c r="C7" t="s">
        <v>957</v>
      </c>
      <c r="D7" t="s">
        <v>958</v>
      </c>
      <c r="E7" s="40">
        <v>36</v>
      </c>
      <c r="F7" s="43">
        <v>50</v>
      </c>
    </row>
    <row r="8" spans="1:6" x14ac:dyDescent="0.35">
      <c r="C8" t="s">
        <v>965</v>
      </c>
      <c r="D8" t="s">
        <v>966</v>
      </c>
      <c r="E8" s="40">
        <v>16</v>
      </c>
      <c r="F8" s="43">
        <v>80</v>
      </c>
    </row>
    <row r="9" spans="1:6" x14ac:dyDescent="0.35">
      <c r="C9" t="s">
        <v>967</v>
      </c>
      <c r="D9" t="s">
        <v>968</v>
      </c>
      <c r="E9" s="40">
        <v>14</v>
      </c>
      <c r="F9" s="43">
        <v>50</v>
      </c>
    </row>
    <row r="10" spans="1:6" x14ac:dyDescent="0.35">
      <c r="B10" t="s">
        <v>939</v>
      </c>
      <c r="C10" t="s">
        <v>940</v>
      </c>
      <c r="D10" t="s">
        <v>941</v>
      </c>
      <c r="E10" s="40">
        <v>15</v>
      </c>
      <c r="F10" s="43">
        <v>50</v>
      </c>
    </row>
    <row r="11" spans="1:6" x14ac:dyDescent="0.35">
      <c r="A11" t="s">
        <v>1839</v>
      </c>
      <c r="B11" t="s">
        <v>882</v>
      </c>
      <c r="C11" t="s">
        <v>887</v>
      </c>
      <c r="D11" t="s">
        <v>888</v>
      </c>
      <c r="E11" s="40">
        <v>2</v>
      </c>
      <c r="F11" s="43">
        <v>200</v>
      </c>
    </row>
    <row r="12" spans="1:6" x14ac:dyDescent="0.35">
      <c r="C12" t="s">
        <v>889</v>
      </c>
      <c r="D12" t="s">
        <v>890</v>
      </c>
      <c r="E12" s="40">
        <v>2</v>
      </c>
      <c r="F12" s="43">
        <v>200</v>
      </c>
    </row>
    <row r="13" spans="1:6" x14ac:dyDescent="0.35">
      <c r="C13" t="s">
        <v>891</v>
      </c>
      <c r="D13" t="s">
        <v>892</v>
      </c>
      <c r="E13" s="40">
        <v>1</v>
      </c>
      <c r="F13" s="43">
        <v>200</v>
      </c>
    </row>
    <row r="14" spans="1:6" x14ac:dyDescent="0.35">
      <c r="C14" t="s">
        <v>895</v>
      </c>
      <c r="D14" t="s">
        <v>896</v>
      </c>
      <c r="E14" s="40">
        <v>2</v>
      </c>
      <c r="F14" s="43">
        <v>150</v>
      </c>
    </row>
    <row r="15" spans="1:6" x14ac:dyDescent="0.35">
      <c r="C15" t="s">
        <v>897</v>
      </c>
      <c r="D15" t="s">
        <v>898</v>
      </c>
      <c r="E15" s="40">
        <v>8</v>
      </c>
      <c r="F15" s="43">
        <v>150</v>
      </c>
    </row>
    <row r="16" spans="1:6" x14ac:dyDescent="0.35">
      <c r="C16" t="s">
        <v>899</v>
      </c>
      <c r="D16" t="s">
        <v>900</v>
      </c>
      <c r="E16" s="40">
        <v>2</v>
      </c>
      <c r="F16" s="43">
        <v>150</v>
      </c>
    </row>
    <row r="17" spans="1:6" x14ac:dyDescent="0.35">
      <c r="C17" t="s">
        <v>901</v>
      </c>
      <c r="D17" t="s">
        <v>902</v>
      </c>
      <c r="E17" s="40">
        <v>3</v>
      </c>
      <c r="F17" s="43">
        <v>210</v>
      </c>
    </row>
    <row r="18" spans="1:6" x14ac:dyDescent="0.35">
      <c r="B18" t="s">
        <v>903</v>
      </c>
      <c r="C18" t="s">
        <v>906</v>
      </c>
      <c r="D18" t="s">
        <v>907</v>
      </c>
      <c r="E18" s="40">
        <v>6</v>
      </c>
      <c r="F18" s="43">
        <v>70</v>
      </c>
    </row>
    <row r="19" spans="1:6" x14ac:dyDescent="0.35">
      <c r="C19" t="s">
        <v>908</v>
      </c>
      <c r="D19" t="s">
        <v>909</v>
      </c>
      <c r="E19" s="40">
        <v>28</v>
      </c>
      <c r="F19" s="43">
        <v>70</v>
      </c>
    </row>
    <row r="20" spans="1:6" x14ac:dyDescent="0.35">
      <c r="C20" t="s">
        <v>910</v>
      </c>
      <c r="D20" t="s">
        <v>911</v>
      </c>
      <c r="E20" s="40">
        <v>32</v>
      </c>
      <c r="F20" s="43">
        <v>130</v>
      </c>
    </row>
    <row r="21" spans="1:6" x14ac:dyDescent="0.35">
      <c r="C21" t="s">
        <v>912</v>
      </c>
      <c r="D21" t="s">
        <v>913</v>
      </c>
      <c r="E21" s="40">
        <v>5</v>
      </c>
      <c r="F21" s="43">
        <v>90</v>
      </c>
    </row>
    <row r="22" spans="1:6" x14ac:dyDescent="0.35">
      <c r="C22" t="s">
        <v>914</v>
      </c>
      <c r="D22" t="s">
        <v>915</v>
      </c>
      <c r="E22" s="40">
        <v>3</v>
      </c>
      <c r="F22" s="43">
        <v>100</v>
      </c>
    </row>
    <row r="23" spans="1:6" x14ac:dyDescent="0.35">
      <c r="B23" t="s">
        <v>877</v>
      </c>
      <c r="C23" t="s">
        <v>878</v>
      </c>
      <c r="D23" t="s">
        <v>879</v>
      </c>
      <c r="E23" s="40">
        <v>11</v>
      </c>
      <c r="F23" s="43">
        <v>220</v>
      </c>
    </row>
    <row r="24" spans="1:6" x14ac:dyDescent="0.35">
      <c r="C24" t="s">
        <v>880</v>
      </c>
      <c r="D24" t="s">
        <v>881</v>
      </c>
      <c r="E24" s="40">
        <v>1</v>
      </c>
      <c r="F24" s="43">
        <v>160</v>
      </c>
    </row>
    <row r="25" spans="1:6" x14ac:dyDescent="0.35">
      <c r="A25" t="s">
        <v>1842</v>
      </c>
      <c r="B25" t="s">
        <v>997</v>
      </c>
      <c r="C25" s="42">
        <v>6009679062405</v>
      </c>
      <c r="D25" t="s">
        <v>1870</v>
      </c>
      <c r="E25" s="40">
        <v>1</v>
      </c>
      <c r="F25" s="43">
        <v>150</v>
      </c>
    </row>
    <row r="26" spans="1:6" x14ac:dyDescent="0.35">
      <c r="C26" t="s">
        <v>998</v>
      </c>
      <c r="D26" t="s">
        <v>999</v>
      </c>
      <c r="E26" s="40">
        <v>2</v>
      </c>
      <c r="F26" s="43">
        <v>250</v>
      </c>
    </row>
    <row r="27" spans="1:6" x14ac:dyDescent="0.35">
      <c r="C27" t="s">
        <v>1000</v>
      </c>
      <c r="D27" t="s">
        <v>1001</v>
      </c>
      <c r="E27" s="40">
        <v>6</v>
      </c>
      <c r="F27" s="43">
        <v>200</v>
      </c>
    </row>
    <row r="28" spans="1:6" x14ac:dyDescent="0.35">
      <c r="C28" t="s">
        <v>1002</v>
      </c>
      <c r="D28" t="s">
        <v>1003</v>
      </c>
      <c r="E28" s="40">
        <v>1</v>
      </c>
      <c r="F28" s="43">
        <v>700</v>
      </c>
    </row>
    <row r="29" spans="1:6" x14ac:dyDescent="0.35">
      <c r="C29" t="s">
        <v>1004</v>
      </c>
      <c r="D29" t="s">
        <v>1005</v>
      </c>
      <c r="E29" s="40">
        <v>1</v>
      </c>
      <c r="F29" s="43">
        <v>700</v>
      </c>
    </row>
    <row r="30" spans="1:6" x14ac:dyDescent="0.35">
      <c r="B30" t="s">
        <v>994</v>
      </c>
      <c r="C30" t="s">
        <v>995</v>
      </c>
      <c r="D30" t="s">
        <v>996</v>
      </c>
      <c r="E30" s="40">
        <v>2</v>
      </c>
      <c r="F30" s="43">
        <v>100</v>
      </c>
    </row>
    <row r="31" spans="1:6" x14ac:dyDescent="0.35">
      <c r="B31" t="s">
        <v>1006</v>
      </c>
      <c r="C31" t="s">
        <v>1007</v>
      </c>
      <c r="D31" t="s">
        <v>1008</v>
      </c>
      <c r="E31" s="40">
        <v>1</v>
      </c>
      <c r="F31" s="43">
        <v>250</v>
      </c>
    </row>
    <row r="32" spans="1:6" x14ac:dyDescent="0.35">
      <c r="B32" t="s">
        <v>1009</v>
      </c>
      <c r="C32" t="s">
        <v>1010</v>
      </c>
      <c r="D32" t="s">
        <v>1011</v>
      </c>
      <c r="E32" s="40">
        <v>20</v>
      </c>
      <c r="F32" s="43">
        <v>50</v>
      </c>
    </row>
    <row r="33" spans="1:6" x14ac:dyDescent="0.35">
      <c r="B33" t="s">
        <v>1063</v>
      </c>
      <c r="C33">
        <v>8964002548545</v>
      </c>
      <c r="D33" t="s">
        <v>1874</v>
      </c>
      <c r="E33" s="40">
        <v>2</v>
      </c>
      <c r="F33" s="43">
        <v>250</v>
      </c>
    </row>
    <row r="34" spans="1:6" x14ac:dyDescent="0.35">
      <c r="C34">
        <v>8964002548569</v>
      </c>
      <c r="D34" t="s">
        <v>1094</v>
      </c>
      <c r="E34" s="40">
        <v>2</v>
      </c>
      <c r="F34" s="43">
        <v>250</v>
      </c>
    </row>
    <row r="35" spans="1:6" x14ac:dyDescent="0.35">
      <c r="A35" t="s">
        <v>291</v>
      </c>
      <c r="B35" t="s">
        <v>1721</v>
      </c>
      <c r="C35" t="s">
        <v>1722</v>
      </c>
      <c r="D35" t="s">
        <v>1723</v>
      </c>
      <c r="E35" s="40">
        <v>1</v>
      </c>
      <c r="F35" s="43">
        <v>80</v>
      </c>
    </row>
    <row r="36" spans="1:6" x14ac:dyDescent="0.35">
      <c r="C36" t="s">
        <v>1724</v>
      </c>
      <c r="D36" t="s">
        <v>1725</v>
      </c>
      <c r="E36" s="40">
        <v>4</v>
      </c>
      <c r="F36" s="43">
        <v>220</v>
      </c>
    </row>
    <row r="37" spans="1:6" x14ac:dyDescent="0.35">
      <c r="C37" t="s">
        <v>1726</v>
      </c>
      <c r="D37" t="s">
        <v>1727</v>
      </c>
      <c r="E37" s="40">
        <v>7</v>
      </c>
      <c r="F37" s="43">
        <v>180</v>
      </c>
    </row>
    <row r="38" spans="1:6" x14ac:dyDescent="0.35">
      <c r="C38" t="s">
        <v>1728</v>
      </c>
      <c r="D38" t="s">
        <v>1729</v>
      </c>
      <c r="E38" s="40">
        <v>15</v>
      </c>
      <c r="F38" s="43">
        <v>160</v>
      </c>
    </row>
    <row r="39" spans="1:6" x14ac:dyDescent="0.35">
      <c r="A39" t="s">
        <v>13</v>
      </c>
      <c r="B39" t="s">
        <v>131</v>
      </c>
      <c r="C39" t="s">
        <v>62</v>
      </c>
      <c r="D39" t="s">
        <v>63</v>
      </c>
      <c r="E39" s="40">
        <v>4</v>
      </c>
      <c r="F39" s="43">
        <v>1020</v>
      </c>
    </row>
    <row r="40" spans="1:6" x14ac:dyDescent="0.35">
      <c r="B40" t="s">
        <v>291</v>
      </c>
      <c r="C40" t="s">
        <v>294</v>
      </c>
      <c r="D40" t="s">
        <v>295</v>
      </c>
      <c r="E40" s="40">
        <v>1</v>
      </c>
      <c r="F40" s="43">
        <v>1000</v>
      </c>
    </row>
    <row r="41" spans="1:6" x14ac:dyDescent="0.35">
      <c r="B41" t="s">
        <v>13</v>
      </c>
      <c r="C41" t="s">
        <v>254</v>
      </c>
      <c r="D41" t="s">
        <v>255</v>
      </c>
      <c r="E41" s="40">
        <v>2</v>
      </c>
      <c r="F41" s="43">
        <v>180</v>
      </c>
    </row>
    <row r="42" spans="1:6" x14ac:dyDescent="0.35">
      <c r="C42" t="s">
        <v>261</v>
      </c>
      <c r="D42" t="s">
        <v>262</v>
      </c>
      <c r="E42" s="40">
        <v>35</v>
      </c>
      <c r="F42" s="43">
        <v>40</v>
      </c>
    </row>
    <row r="43" spans="1:6" x14ac:dyDescent="0.35">
      <c r="C43" t="s">
        <v>263</v>
      </c>
      <c r="D43" t="s">
        <v>264</v>
      </c>
      <c r="E43" s="40">
        <v>2</v>
      </c>
      <c r="F43" s="43">
        <v>180</v>
      </c>
    </row>
    <row r="44" spans="1:6" x14ac:dyDescent="0.35">
      <c r="C44" t="s">
        <v>267</v>
      </c>
      <c r="D44" t="s">
        <v>268</v>
      </c>
      <c r="E44" s="40">
        <v>20</v>
      </c>
      <c r="F44" s="43">
        <v>160</v>
      </c>
    </row>
    <row r="45" spans="1:6" x14ac:dyDescent="0.35">
      <c r="C45" t="s">
        <v>271</v>
      </c>
      <c r="D45" t="s">
        <v>272</v>
      </c>
      <c r="E45" s="40">
        <v>1</v>
      </c>
      <c r="F45" s="43">
        <v>120</v>
      </c>
    </row>
    <row r="46" spans="1:6" x14ac:dyDescent="0.35">
      <c r="C46" t="s">
        <v>273</v>
      </c>
      <c r="D46" t="s">
        <v>274</v>
      </c>
      <c r="E46" s="40">
        <v>5</v>
      </c>
      <c r="F46" s="43">
        <v>80</v>
      </c>
    </row>
    <row r="47" spans="1:6" x14ac:dyDescent="0.35">
      <c r="C47" t="s">
        <v>275</v>
      </c>
      <c r="D47" t="s">
        <v>276</v>
      </c>
      <c r="E47" s="40">
        <v>26</v>
      </c>
      <c r="F47" s="43">
        <v>80</v>
      </c>
    </row>
    <row r="48" spans="1:6" x14ac:dyDescent="0.35">
      <c r="C48" t="s">
        <v>281</v>
      </c>
      <c r="D48" t="s">
        <v>282</v>
      </c>
      <c r="E48" s="40">
        <v>6</v>
      </c>
      <c r="F48" s="43">
        <v>150</v>
      </c>
    </row>
    <row r="49" spans="2:6" x14ac:dyDescent="0.35">
      <c r="C49" t="s">
        <v>283</v>
      </c>
      <c r="D49" t="s">
        <v>284</v>
      </c>
      <c r="E49" s="40">
        <v>6</v>
      </c>
      <c r="F49" s="43">
        <v>150</v>
      </c>
    </row>
    <row r="50" spans="2:6" x14ac:dyDescent="0.35">
      <c r="C50" t="s">
        <v>287</v>
      </c>
      <c r="D50" t="s">
        <v>288</v>
      </c>
      <c r="E50" s="40">
        <v>7</v>
      </c>
      <c r="F50" s="43">
        <v>130</v>
      </c>
    </row>
    <row r="51" spans="2:6" x14ac:dyDescent="0.35">
      <c r="B51" t="s">
        <v>14</v>
      </c>
      <c r="C51" t="s">
        <v>17</v>
      </c>
      <c r="D51" t="s">
        <v>18</v>
      </c>
      <c r="E51" s="40">
        <v>4</v>
      </c>
      <c r="F51" s="43">
        <v>50</v>
      </c>
    </row>
    <row r="52" spans="2:6" x14ac:dyDescent="0.35">
      <c r="C52" t="s">
        <v>23</v>
      </c>
      <c r="D52" t="s">
        <v>24</v>
      </c>
      <c r="E52" s="40">
        <v>6</v>
      </c>
      <c r="F52" s="43">
        <v>100</v>
      </c>
    </row>
    <row r="53" spans="2:6" x14ac:dyDescent="0.35">
      <c r="C53" t="s">
        <v>25</v>
      </c>
      <c r="D53" t="s">
        <v>26</v>
      </c>
      <c r="E53" s="40">
        <v>1</v>
      </c>
      <c r="F53" s="43">
        <v>60</v>
      </c>
    </row>
    <row r="54" spans="2:6" x14ac:dyDescent="0.35">
      <c r="C54" t="s">
        <v>27</v>
      </c>
      <c r="D54" t="s">
        <v>28</v>
      </c>
      <c r="E54" s="40">
        <v>12</v>
      </c>
      <c r="F54" s="43">
        <v>100</v>
      </c>
    </row>
    <row r="55" spans="2:6" x14ac:dyDescent="0.35">
      <c r="C55" t="s">
        <v>29</v>
      </c>
      <c r="D55" t="s">
        <v>30</v>
      </c>
      <c r="E55" s="40">
        <v>16</v>
      </c>
      <c r="F55" s="43">
        <v>480</v>
      </c>
    </row>
    <row r="56" spans="2:6" x14ac:dyDescent="0.35">
      <c r="C56" t="s">
        <v>31</v>
      </c>
      <c r="D56" t="s">
        <v>32</v>
      </c>
      <c r="E56" s="40">
        <v>6</v>
      </c>
      <c r="F56" s="43">
        <v>240</v>
      </c>
    </row>
    <row r="57" spans="2:6" x14ac:dyDescent="0.35">
      <c r="C57" t="s">
        <v>11</v>
      </c>
      <c r="D57" t="s">
        <v>35</v>
      </c>
      <c r="E57" s="40">
        <v>5</v>
      </c>
      <c r="F57" s="43">
        <v>120</v>
      </c>
    </row>
    <row r="58" spans="2:6" x14ac:dyDescent="0.35">
      <c r="C58" t="s">
        <v>38</v>
      </c>
      <c r="D58" t="s">
        <v>39</v>
      </c>
      <c r="E58" s="40">
        <v>2</v>
      </c>
      <c r="F58" s="43">
        <v>60</v>
      </c>
    </row>
    <row r="59" spans="2:6" x14ac:dyDescent="0.35">
      <c r="C59" t="s">
        <v>42</v>
      </c>
      <c r="D59" t="s">
        <v>43</v>
      </c>
      <c r="E59" s="40">
        <v>2</v>
      </c>
      <c r="F59" s="43">
        <v>120</v>
      </c>
    </row>
    <row r="60" spans="2:6" x14ac:dyDescent="0.35">
      <c r="C60" t="s">
        <v>44</v>
      </c>
      <c r="D60" t="s">
        <v>45</v>
      </c>
      <c r="E60" s="40">
        <v>11</v>
      </c>
      <c r="F60" s="43">
        <v>240</v>
      </c>
    </row>
    <row r="61" spans="2:6" x14ac:dyDescent="0.35">
      <c r="C61" t="s">
        <v>46</v>
      </c>
      <c r="D61" t="s">
        <v>47</v>
      </c>
      <c r="E61" s="40">
        <v>11</v>
      </c>
      <c r="F61" s="43">
        <v>70</v>
      </c>
    </row>
    <row r="62" spans="2:6" x14ac:dyDescent="0.35">
      <c r="C62" t="s">
        <v>48</v>
      </c>
      <c r="D62" t="s">
        <v>49</v>
      </c>
      <c r="E62" s="40">
        <v>6</v>
      </c>
      <c r="F62" s="43">
        <v>140</v>
      </c>
    </row>
    <row r="63" spans="2:6" x14ac:dyDescent="0.35">
      <c r="C63" t="s">
        <v>52</v>
      </c>
      <c r="D63" t="s">
        <v>53</v>
      </c>
      <c r="E63" s="40">
        <v>13</v>
      </c>
      <c r="F63" s="43">
        <v>100</v>
      </c>
    </row>
    <row r="64" spans="2:6" x14ac:dyDescent="0.35">
      <c r="C64" t="s">
        <v>54</v>
      </c>
      <c r="D64" t="s">
        <v>55</v>
      </c>
      <c r="E64" s="40">
        <v>11</v>
      </c>
      <c r="F64" s="43">
        <v>60</v>
      </c>
    </row>
    <row r="65" spans="2:6" x14ac:dyDescent="0.35">
      <c r="C65" t="s">
        <v>56</v>
      </c>
      <c r="D65" t="s">
        <v>57</v>
      </c>
      <c r="E65" s="40">
        <v>7</v>
      </c>
      <c r="F65" s="43">
        <v>120</v>
      </c>
    </row>
    <row r="66" spans="2:6" x14ac:dyDescent="0.35">
      <c r="C66" t="s">
        <v>58</v>
      </c>
      <c r="D66" t="s">
        <v>59</v>
      </c>
      <c r="E66" s="40">
        <v>25</v>
      </c>
      <c r="F66" s="43">
        <v>240</v>
      </c>
    </row>
    <row r="67" spans="2:6" x14ac:dyDescent="0.35">
      <c r="C67" t="s">
        <v>64</v>
      </c>
      <c r="D67" t="s">
        <v>65</v>
      </c>
      <c r="E67" s="40">
        <v>7</v>
      </c>
      <c r="F67" s="43">
        <v>60</v>
      </c>
    </row>
    <row r="68" spans="2:6" x14ac:dyDescent="0.35">
      <c r="C68" t="s">
        <v>70</v>
      </c>
      <c r="D68" t="s">
        <v>71</v>
      </c>
      <c r="E68" s="40">
        <v>2</v>
      </c>
      <c r="F68" s="43">
        <v>190</v>
      </c>
    </row>
    <row r="69" spans="2:6" x14ac:dyDescent="0.35">
      <c r="C69" t="s">
        <v>72</v>
      </c>
      <c r="D69" t="s">
        <v>73</v>
      </c>
      <c r="E69" s="40">
        <v>3</v>
      </c>
      <c r="F69" s="43">
        <v>250</v>
      </c>
    </row>
    <row r="70" spans="2:6" x14ac:dyDescent="0.35">
      <c r="B70" t="s">
        <v>79</v>
      </c>
      <c r="C70" t="s">
        <v>82</v>
      </c>
      <c r="D70" t="s">
        <v>83</v>
      </c>
      <c r="E70" s="40">
        <v>60</v>
      </c>
      <c r="F70" s="43">
        <v>19.329999999999998</v>
      </c>
    </row>
    <row r="71" spans="2:6" x14ac:dyDescent="0.35">
      <c r="C71" t="s">
        <v>84</v>
      </c>
      <c r="D71" t="s">
        <v>85</v>
      </c>
      <c r="E71" s="40">
        <v>4</v>
      </c>
      <c r="F71" s="43">
        <v>100</v>
      </c>
    </row>
    <row r="72" spans="2:6" x14ac:dyDescent="0.35">
      <c r="C72" t="s">
        <v>86</v>
      </c>
      <c r="D72" t="s">
        <v>87</v>
      </c>
      <c r="E72" s="40">
        <v>1</v>
      </c>
      <c r="F72" s="43">
        <v>280</v>
      </c>
    </row>
    <row r="73" spans="2:6" x14ac:dyDescent="0.35">
      <c r="C73" t="s">
        <v>88</v>
      </c>
      <c r="D73" t="s">
        <v>89</v>
      </c>
      <c r="E73" s="40">
        <v>1</v>
      </c>
      <c r="F73" s="43">
        <v>400</v>
      </c>
    </row>
    <row r="74" spans="2:6" x14ac:dyDescent="0.35">
      <c r="C74" t="s">
        <v>90</v>
      </c>
      <c r="D74" t="s">
        <v>91</v>
      </c>
      <c r="E74" s="40">
        <v>2</v>
      </c>
      <c r="F74" s="43">
        <v>354</v>
      </c>
    </row>
    <row r="75" spans="2:6" x14ac:dyDescent="0.35">
      <c r="C75" t="s">
        <v>92</v>
      </c>
      <c r="D75" t="s">
        <v>93</v>
      </c>
      <c r="E75" s="40">
        <v>2</v>
      </c>
      <c r="F75" s="43">
        <v>205</v>
      </c>
    </row>
    <row r="76" spans="2:6" x14ac:dyDescent="0.35">
      <c r="C76" t="s">
        <v>94</v>
      </c>
      <c r="D76" t="s">
        <v>95</v>
      </c>
      <c r="E76" s="40">
        <v>1</v>
      </c>
      <c r="F76" s="43">
        <v>194</v>
      </c>
    </row>
    <row r="77" spans="2:6" x14ac:dyDescent="0.35">
      <c r="C77" t="s">
        <v>96</v>
      </c>
      <c r="D77" t="s">
        <v>97</v>
      </c>
      <c r="E77" s="40">
        <v>1</v>
      </c>
      <c r="F77" s="43">
        <v>208</v>
      </c>
    </row>
    <row r="78" spans="2:6" x14ac:dyDescent="0.35">
      <c r="C78" t="s">
        <v>98</v>
      </c>
      <c r="D78" t="s">
        <v>99</v>
      </c>
      <c r="E78" s="40">
        <v>1</v>
      </c>
      <c r="F78" s="43">
        <v>218</v>
      </c>
    </row>
    <row r="79" spans="2:6" x14ac:dyDescent="0.35">
      <c r="C79" t="s">
        <v>100</v>
      </c>
      <c r="D79" t="s">
        <v>101</v>
      </c>
      <c r="E79" s="40">
        <v>1</v>
      </c>
      <c r="F79" s="43">
        <v>383</v>
      </c>
    </row>
    <row r="80" spans="2:6" x14ac:dyDescent="0.35">
      <c r="C80" t="s">
        <v>102</v>
      </c>
      <c r="D80" t="s">
        <v>103</v>
      </c>
      <c r="E80" s="40">
        <v>2</v>
      </c>
      <c r="F80" s="43">
        <v>320</v>
      </c>
    </row>
    <row r="81" spans="2:6" x14ac:dyDescent="0.35">
      <c r="C81" t="s">
        <v>104</v>
      </c>
      <c r="D81" t="s">
        <v>105</v>
      </c>
      <c r="E81" s="40">
        <v>2</v>
      </c>
      <c r="F81" s="43">
        <v>150</v>
      </c>
    </row>
    <row r="82" spans="2:6" x14ac:dyDescent="0.35">
      <c r="B82" t="s">
        <v>1640</v>
      </c>
      <c r="C82" t="s">
        <v>1641</v>
      </c>
      <c r="D82" t="s">
        <v>1642</v>
      </c>
      <c r="E82" s="40">
        <v>3</v>
      </c>
      <c r="F82" s="43">
        <v>240</v>
      </c>
    </row>
    <row r="83" spans="2:6" x14ac:dyDescent="0.35">
      <c r="B83" t="s">
        <v>143</v>
      </c>
      <c r="C83" t="s">
        <v>146</v>
      </c>
      <c r="D83" t="s">
        <v>147</v>
      </c>
      <c r="E83" s="40">
        <v>1</v>
      </c>
      <c r="F83" s="43">
        <v>50</v>
      </c>
    </row>
    <row r="84" spans="2:6" x14ac:dyDescent="0.35">
      <c r="C84" t="s">
        <v>150</v>
      </c>
      <c r="D84" t="s">
        <v>151</v>
      </c>
      <c r="E84" s="40">
        <v>4</v>
      </c>
      <c r="F84" s="43">
        <v>100</v>
      </c>
    </row>
    <row r="85" spans="2:6" x14ac:dyDescent="0.35">
      <c r="C85" t="s">
        <v>152</v>
      </c>
      <c r="D85" t="s">
        <v>153</v>
      </c>
      <c r="E85" s="40">
        <v>23</v>
      </c>
      <c r="F85" s="43">
        <v>20</v>
      </c>
    </row>
    <row r="86" spans="2:6" x14ac:dyDescent="0.35">
      <c r="C86" t="s">
        <v>154</v>
      </c>
      <c r="D86" t="s">
        <v>155</v>
      </c>
      <c r="E86" s="40">
        <v>17</v>
      </c>
      <c r="F86" s="43">
        <v>100</v>
      </c>
    </row>
    <row r="87" spans="2:6" x14ac:dyDescent="0.35">
      <c r="C87" t="s">
        <v>156</v>
      </c>
      <c r="D87" t="s">
        <v>157</v>
      </c>
      <c r="E87" s="40">
        <v>9</v>
      </c>
      <c r="F87" s="43">
        <v>60</v>
      </c>
    </row>
    <row r="88" spans="2:6" x14ac:dyDescent="0.35">
      <c r="C88" t="s">
        <v>158</v>
      </c>
      <c r="D88" t="s">
        <v>159</v>
      </c>
      <c r="E88" s="40">
        <v>10</v>
      </c>
      <c r="F88" s="43">
        <v>80</v>
      </c>
    </row>
    <row r="89" spans="2:6" x14ac:dyDescent="0.35">
      <c r="C89" t="s">
        <v>160</v>
      </c>
      <c r="D89" t="s">
        <v>161</v>
      </c>
      <c r="E89" s="40">
        <v>4</v>
      </c>
      <c r="F89" s="43">
        <v>100</v>
      </c>
    </row>
    <row r="90" spans="2:6" x14ac:dyDescent="0.35">
      <c r="C90" t="s">
        <v>162</v>
      </c>
      <c r="D90" t="s">
        <v>163</v>
      </c>
      <c r="E90" s="40">
        <v>48</v>
      </c>
      <c r="F90" s="43">
        <v>60</v>
      </c>
    </row>
    <row r="91" spans="2:6" x14ac:dyDescent="0.35">
      <c r="C91" t="s">
        <v>164</v>
      </c>
      <c r="D91" t="s">
        <v>165</v>
      </c>
      <c r="E91" s="40">
        <v>40</v>
      </c>
      <c r="F91" s="43">
        <v>50</v>
      </c>
    </row>
    <row r="92" spans="2:6" x14ac:dyDescent="0.35">
      <c r="C92" t="s">
        <v>166</v>
      </c>
      <c r="D92" t="s">
        <v>167</v>
      </c>
      <c r="E92" s="40">
        <v>7</v>
      </c>
      <c r="F92" s="43">
        <v>50</v>
      </c>
    </row>
    <row r="93" spans="2:6" x14ac:dyDescent="0.35">
      <c r="C93" t="s">
        <v>170</v>
      </c>
      <c r="D93" t="s">
        <v>171</v>
      </c>
      <c r="E93" s="40">
        <v>8</v>
      </c>
      <c r="F93" s="43">
        <v>50</v>
      </c>
    </row>
    <row r="94" spans="2:6" x14ac:dyDescent="0.35">
      <c r="C94" t="s">
        <v>172</v>
      </c>
      <c r="D94" t="s">
        <v>173</v>
      </c>
      <c r="E94" s="40">
        <v>32</v>
      </c>
      <c r="F94" s="43">
        <v>40</v>
      </c>
    </row>
    <row r="95" spans="2:6" x14ac:dyDescent="0.35">
      <c r="C95" t="s">
        <v>174</v>
      </c>
      <c r="D95" t="s">
        <v>175</v>
      </c>
      <c r="E95" s="40">
        <v>17</v>
      </c>
      <c r="F95" s="43">
        <v>50</v>
      </c>
    </row>
    <row r="96" spans="2:6" x14ac:dyDescent="0.35">
      <c r="C96" t="s">
        <v>178</v>
      </c>
      <c r="D96" t="s">
        <v>179</v>
      </c>
      <c r="E96" s="40">
        <v>2</v>
      </c>
      <c r="F96" s="43">
        <v>200</v>
      </c>
    </row>
    <row r="97" spans="3:6" x14ac:dyDescent="0.35">
      <c r="C97" t="s">
        <v>182</v>
      </c>
      <c r="D97" t="s">
        <v>183</v>
      </c>
      <c r="E97" s="40">
        <v>1</v>
      </c>
      <c r="F97" s="43">
        <v>100</v>
      </c>
    </row>
    <row r="98" spans="3:6" x14ac:dyDescent="0.35">
      <c r="C98" t="s">
        <v>184</v>
      </c>
      <c r="D98" t="s">
        <v>185</v>
      </c>
      <c r="E98" s="40">
        <v>10</v>
      </c>
      <c r="F98" s="43">
        <v>100</v>
      </c>
    </row>
    <row r="99" spans="3:6" x14ac:dyDescent="0.35">
      <c r="C99" t="s">
        <v>188</v>
      </c>
      <c r="D99" t="s">
        <v>189</v>
      </c>
      <c r="E99" s="40">
        <v>3</v>
      </c>
      <c r="F99" s="43">
        <v>200</v>
      </c>
    </row>
    <row r="100" spans="3:6" x14ac:dyDescent="0.35">
      <c r="C100" t="s">
        <v>190</v>
      </c>
      <c r="D100" t="s">
        <v>191</v>
      </c>
      <c r="E100" s="40">
        <v>13</v>
      </c>
      <c r="F100" s="43">
        <v>200</v>
      </c>
    </row>
    <row r="101" spans="3:6" x14ac:dyDescent="0.35">
      <c r="C101" t="s">
        <v>194</v>
      </c>
      <c r="D101" t="s">
        <v>195</v>
      </c>
      <c r="E101" s="40">
        <v>4</v>
      </c>
      <c r="F101" s="43">
        <v>50</v>
      </c>
    </row>
    <row r="102" spans="3:6" x14ac:dyDescent="0.35">
      <c r="C102" t="s">
        <v>196</v>
      </c>
      <c r="D102" t="s">
        <v>197</v>
      </c>
      <c r="E102" s="40">
        <v>6</v>
      </c>
      <c r="F102" s="43">
        <v>60</v>
      </c>
    </row>
    <row r="103" spans="3:6" x14ac:dyDescent="0.35">
      <c r="C103" t="s">
        <v>198</v>
      </c>
      <c r="D103" t="s">
        <v>199</v>
      </c>
      <c r="E103" s="40">
        <v>1</v>
      </c>
      <c r="F103" s="43">
        <v>50</v>
      </c>
    </row>
    <row r="104" spans="3:6" x14ac:dyDescent="0.35">
      <c r="C104" t="s">
        <v>200</v>
      </c>
      <c r="D104" t="s">
        <v>201</v>
      </c>
      <c r="E104" s="40">
        <v>5</v>
      </c>
      <c r="F104" s="43">
        <v>50</v>
      </c>
    </row>
    <row r="105" spans="3:6" x14ac:dyDescent="0.35">
      <c r="C105" t="s">
        <v>202</v>
      </c>
      <c r="D105" t="s">
        <v>203</v>
      </c>
      <c r="E105" s="40">
        <v>4</v>
      </c>
      <c r="F105" s="43">
        <v>50</v>
      </c>
    </row>
    <row r="106" spans="3:6" x14ac:dyDescent="0.35">
      <c r="C106" t="s">
        <v>204</v>
      </c>
      <c r="D106" t="s">
        <v>205</v>
      </c>
      <c r="E106" s="40">
        <v>8</v>
      </c>
      <c r="F106" s="43">
        <v>50</v>
      </c>
    </row>
    <row r="107" spans="3:6" x14ac:dyDescent="0.35">
      <c r="C107" t="s">
        <v>206</v>
      </c>
      <c r="D107" t="s">
        <v>207</v>
      </c>
      <c r="E107" s="40">
        <v>11</v>
      </c>
      <c r="F107" s="43">
        <v>100</v>
      </c>
    </row>
    <row r="108" spans="3:6" x14ac:dyDescent="0.35">
      <c r="C108" t="s">
        <v>208</v>
      </c>
      <c r="D108" t="s">
        <v>209</v>
      </c>
      <c r="E108" s="40">
        <v>6</v>
      </c>
      <c r="F108" s="43">
        <v>50</v>
      </c>
    </row>
    <row r="109" spans="3:6" x14ac:dyDescent="0.35">
      <c r="C109" t="s">
        <v>210</v>
      </c>
      <c r="D109" t="s">
        <v>211</v>
      </c>
      <c r="E109" s="40">
        <v>12</v>
      </c>
      <c r="F109" s="43">
        <v>100</v>
      </c>
    </row>
    <row r="110" spans="3:6" x14ac:dyDescent="0.35">
      <c r="C110" t="s">
        <v>212</v>
      </c>
      <c r="D110" t="s">
        <v>213</v>
      </c>
      <c r="E110" s="40">
        <v>28</v>
      </c>
      <c r="F110" s="43">
        <v>90</v>
      </c>
    </row>
    <row r="111" spans="3:6" x14ac:dyDescent="0.35">
      <c r="C111" t="s">
        <v>214</v>
      </c>
      <c r="D111" t="s">
        <v>215</v>
      </c>
      <c r="E111" s="40">
        <v>19</v>
      </c>
      <c r="F111" s="43">
        <v>80</v>
      </c>
    </row>
    <row r="112" spans="3:6" x14ac:dyDescent="0.35">
      <c r="C112" t="s">
        <v>218</v>
      </c>
      <c r="D112" t="s">
        <v>219</v>
      </c>
      <c r="E112" s="40">
        <v>13</v>
      </c>
      <c r="F112" s="43">
        <v>150</v>
      </c>
    </row>
    <row r="113" spans="2:6" x14ac:dyDescent="0.35">
      <c r="C113" t="s">
        <v>222</v>
      </c>
      <c r="D113" t="s">
        <v>223</v>
      </c>
      <c r="E113" s="40">
        <v>13</v>
      </c>
      <c r="F113" s="43">
        <v>50</v>
      </c>
    </row>
    <row r="114" spans="2:6" x14ac:dyDescent="0.35">
      <c r="C114" t="s">
        <v>224</v>
      </c>
      <c r="D114" t="s">
        <v>225</v>
      </c>
      <c r="E114" s="40">
        <v>4</v>
      </c>
      <c r="F114" s="43">
        <v>50</v>
      </c>
    </row>
    <row r="115" spans="2:6" x14ac:dyDescent="0.35">
      <c r="C115" t="s">
        <v>228</v>
      </c>
      <c r="D115" t="s">
        <v>229</v>
      </c>
      <c r="E115" s="40">
        <v>2</v>
      </c>
      <c r="F115" s="43">
        <v>100</v>
      </c>
    </row>
    <row r="116" spans="2:6" x14ac:dyDescent="0.35">
      <c r="C116" t="s">
        <v>230</v>
      </c>
      <c r="D116" t="s">
        <v>231</v>
      </c>
      <c r="E116" s="40">
        <v>13</v>
      </c>
      <c r="F116" s="43">
        <v>20</v>
      </c>
    </row>
    <row r="117" spans="2:6" x14ac:dyDescent="0.35">
      <c r="C117" t="s">
        <v>232</v>
      </c>
      <c r="D117" t="s">
        <v>233</v>
      </c>
      <c r="E117" s="40">
        <v>26</v>
      </c>
      <c r="F117" s="43">
        <v>150</v>
      </c>
    </row>
    <row r="118" spans="2:6" x14ac:dyDescent="0.35">
      <c r="B118" t="s">
        <v>246</v>
      </c>
      <c r="C118" t="s">
        <v>247</v>
      </c>
      <c r="D118" t="s">
        <v>248</v>
      </c>
      <c r="E118" s="40">
        <v>9</v>
      </c>
      <c r="F118" s="43">
        <v>60</v>
      </c>
    </row>
    <row r="119" spans="2:6" x14ac:dyDescent="0.35">
      <c r="B119" t="s">
        <v>138</v>
      </c>
      <c r="C119" t="s">
        <v>139</v>
      </c>
      <c r="D119" t="s">
        <v>140</v>
      </c>
      <c r="E119" s="40">
        <v>36</v>
      </c>
      <c r="F119" s="43">
        <v>50</v>
      </c>
    </row>
    <row r="120" spans="2:6" x14ac:dyDescent="0.35">
      <c r="C120" t="s">
        <v>141</v>
      </c>
      <c r="D120" t="s">
        <v>142</v>
      </c>
      <c r="E120" s="40">
        <v>11</v>
      </c>
      <c r="F120" s="43">
        <v>10</v>
      </c>
    </row>
    <row r="121" spans="2:6" x14ac:dyDescent="0.35">
      <c r="B121" t="s">
        <v>1411</v>
      </c>
      <c r="C121" t="s">
        <v>132</v>
      </c>
      <c r="D121" t="s">
        <v>133</v>
      </c>
      <c r="E121" s="40">
        <v>1</v>
      </c>
      <c r="F121" s="43">
        <v>10</v>
      </c>
    </row>
    <row r="122" spans="2:6" x14ac:dyDescent="0.35">
      <c r="B122" t="s">
        <v>108</v>
      </c>
      <c r="C122" t="s">
        <v>109</v>
      </c>
      <c r="D122" t="s">
        <v>110</v>
      </c>
      <c r="E122" s="40">
        <v>9</v>
      </c>
      <c r="F122" s="43">
        <v>380</v>
      </c>
    </row>
    <row r="123" spans="2:6" x14ac:dyDescent="0.35">
      <c r="C123" t="s">
        <v>111</v>
      </c>
      <c r="D123" t="s">
        <v>112</v>
      </c>
      <c r="E123" s="40">
        <v>3</v>
      </c>
      <c r="F123" s="43">
        <v>760</v>
      </c>
    </row>
    <row r="124" spans="2:6" x14ac:dyDescent="0.35">
      <c r="C124" t="s">
        <v>115</v>
      </c>
      <c r="D124" t="s">
        <v>116</v>
      </c>
      <c r="E124" s="40">
        <v>4</v>
      </c>
      <c r="F124" s="43">
        <v>100</v>
      </c>
    </row>
    <row r="125" spans="2:6" x14ac:dyDescent="0.35">
      <c r="C125" t="s">
        <v>192</v>
      </c>
      <c r="D125" t="s">
        <v>193</v>
      </c>
      <c r="E125" s="40">
        <v>6</v>
      </c>
      <c r="F125" s="43">
        <v>140</v>
      </c>
    </row>
    <row r="126" spans="2:6" x14ac:dyDescent="0.35">
      <c r="C126" t="s">
        <v>117</v>
      </c>
      <c r="D126" t="s">
        <v>118</v>
      </c>
      <c r="E126" s="40">
        <v>5</v>
      </c>
      <c r="F126" s="43">
        <v>190</v>
      </c>
    </row>
    <row r="127" spans="2:6" x14ac:dyDescent="0.35">
      <c r="C127" t="s">
        <v>119</v>
      </c>
      <c r="D127" t="s">
        <v>120</v>
      </c>
      <c r="E127" s="40">
        <v>18</v>
      </c>
      <c r="F127" s="43">
        <v>200</v>
      </c>
    </row>
    <row r="128" spans="2:6" x14ac:dyDescent="0.35">
      <c r="C128" t="s">
        <v>121</v>
      </c>
      <c r="D128" t="s">
        <v>122</v>
      </c>
      <c r="E128" s="40">
        <v>34</v>
      </c>
      <c r="F128" s="43">
        <v>260</v>
      </c>
    </row>
    <row r="129" spans="1:6" x14ac:dyDescent="0.35">
      <c r="C129" t="s">
        <v>125</v>
      </c>
      <c r="D129" t="s">
        <v>126</v>
      </c>
      <c r="E129" s="40">
        <v>3</v>
      </c>
      <c r="F129" s="43">
        <v>170</v>
      </c>
    </row>
    <row r="130" spans="1:6" x14ac:dyDescent="0.35">
      <c r="C130" t="s">
        <v>127</v>
      </c>
      <c r="D130" t="s">
        <v>128</v>
      </c>
      <c r="E130" s="40">
        <v>45</v>
      </c>
      <c r="F130" s="43">
        <v>340</v>
      </c>
    </row>
    <row r="131" spans="1:6" x14ac:dyDescent="0.35">
      <c r="B131" t="s">
        <v>74</v>
      </c>
      <c r="C131" t="s">
        <v>75</v>
      </c>
      <c r="D131" t="s">
        <v>76</v>
      </c>
      <c r="E131" s="40">
        <v>12</v>
      </c>
      <c r="F131" s="43">
        <v>100</v>
      </c>
    </row>
    <row r="132" spans="1:6" x14ac:dyDescent="0.35">
      <c r="C132" t="s">
        <v>77</v>
      </c>
      <c r="D132" t="s">
        <v>78</v>
      </c>
      <c r="E132" s="40">
        <v>1</v>
      </c>
      <c r="F132" s="43">
        <v>30</v>
      </c>
    </row>
    <row r="133" spans="1:6" x14ac:dyDescent="0.35">
      <c r="B133" t="s">
        <v>1063</v>
      </c>
      <c r="C133" t="s">
        <v>279</v>
      </c>
      <c r="D133" t="s">
        <v>280</v>
      </c>
      <c r="E133" s="40">
        <v>2</v>
      </c>
      <c r="F133" s="43">
        <v>140</v>
      </c>
    </row>
    <row r="134" spans="1:6" x14ac:dyDescent="0.35">
      <c r="B134" t="s">
        <v>234</v>
      </c>
      <c r="C134" t="s">
        <v>235</v>
      </c>
      <c r="D134" t="s">
        <v>236</v>
      </c>
      <c r="E134" s="40">
        <v>1</v>
      </c>
      <c r="F134" s="43">
        <v>120</v>
      </c>
    </row>
    <row r="135" spans="1:6" x14ac:dyDescent="0.35">
      <c r="C135" t="s">
        <v>237</v>
      </c>
      <c r="D135" t="s">
        <v>238</v>
      </c>
      <c r="E135" s="40">
        <v>1</v>
      </c>
      <c r="F135" s="43">
        <v>80</v>
      </c>
    </row>
    <row r="136" spans="1:6" x14ac:dyDescent="0.35">
      <c r="C136" t="s">
        <v>239</v>
      </c>
      <c r="D136" t="s">
        <v>240</v>
      </c>
      <c r="E136" s="40">
        <v>19</v>
      </c>
      <c r="F136" s="43">
        <v>150</v>
      </c>
    </row>
    <row r="137" spans="1:6" x14ac:dyDescent="0.35">
      <c r="C137" t="s">
        <v>241</v>
      </c>
      <c r="D137" t="s">
        <v>242</v>
      </c>
      <c r="E137" s="40">
        <v>5</v>
      </c>
      <c r="F137" s="43">
        <v>300</v>
      </c>
    </row>
    <row r="138" spans="1:6" x14ac:dyDescent="0.35">
      <c r="A138" t="s">
        <v>1827</v>
      </c>
      <c r="B138" t="s">
        <v>437</v>
      </c>
      <c r="C138" t="s">
        <v>438</v>
      </c>
      <c r="D138" t="s">
        <v>439</v>
      </c>
      <c r="E138" s="40">
        <v>2</v>
      </c>
      <c r="F138" s="43">
        <v>225</v>
      </c>
    </row>
    <row r="139" spans="1:6" x14ac:dyDescent="0.35">
      <c r="B139" t="s">
        <v>470</v>
      </c>
      <c r="C139" t="s">
        <v>471</v>
      </c>
      <c r="D139" t="s">
        <v>472</v>
      </c>
      <c r="E139" s="40">
        <v>17</v>
      </c>
      <c r="F139" s="43">
        <v>20</v>
      </c>
    </row>
    <row r="140" spans="1:6" x14ac:dyDescent="0.35">
      <c r="C140" t="s">
        <v>473</v>
      </c>
      <c r="D140" t="s">
        <v>474</v>
      </c>
      <c r="E140" s="40">
        <v>3</v>
      </c>
      <c r="F140" s="43">
        <v>270</v>
      </c>
    </row>
    <row r="141" spans="1:6" x14ac:dyDescent="0.35">
      <c r="C141" t="s">
        <v>475</v>
      </c>
      <c r="D141" t="s">
        <v>476</v>
      </c>
      <c r="E141" s="40">
        <v>19</v>
      </c>
      <c r="F141" s="43">
        <v>50</v>
      </c>
    </row>
    <row r="142" spans="1:6" x14ac:dyDescent="0.35">
      <c r="C142" t="s">
        <v>477</v>
      </c>
      <c r="D142" t="s">
        <v>478</v>
      </c>
      <c r="E142" s="40">
        <v>4</v>
      </c>
      <c r="F142" s="43">
        <v>590</v>
      </c>
    </row>
    <row r="143" spans="1:6" x14ac:dyDescent="0.35">
      <c r="B143" t="s">
        <v>1693</v>
      </c>
      <c r="C143" t="s">
        <v>1694</v>
      </c>
      <c r="D143" t="s">
        <v>1695</v>
      </c>
      <c r="E143" s="40">
        <v>7</v>
      </c>
      <c r="F143" s="43">
        <v>100</v>
      </c>
    </row>
    <row r="144" spans="1:6" x14ac:dyDescent="0.35">
      <c r="B144" t="s">
        <v>1648</v>
      </c>
      <c r="C144" t="s">
        <v>1649</v>
      </c>
      <c r="D144" t="s">
        <v>1650</v>
      </c>
      <c r="E144" s="40">
        <v>2</v>
      </c>
      <c r="F144" s="43">
        <v>180</v>
      </c>
    </row>
    <row r="145" spans="2:6" x14ac:dyDescent="0.35">
      <c r="C145" t="s">
        <v>1651</v>
      </c>
      <c r="D145" t="s">
        <v>1652</v>
      </c>
      <c r="E145" s="40">
        <v>3</v>
      </c>
      <c r="F145" s="43">
        <v>310</v>
      </c>
    </row>
    <row r="146" spans="2:6" x14ac:dyDescent="0.35">
      <c r="C146" t="s">
        <v>1655</v>
      </c>
      <c r="D146" t="s">
        <v>1656</v>
      </c>
      <c r="E146" s="40">
        <v>1</v>
      </c>
      <c r="F146" s="43">
        <v>390</v>
      </c>
    </row>
    <row r="147" spans="2:6" x14ac:dyDescent="0.35">
      <c r="C147" t="s">
        <v>1657</v>
      </c>
      <c r="D147" t="s">
        <v>1658</v>
      </c>
      <c r="E147" s="40">
        <v>5</v>
      </c>
      <c r="F147" s="43">
        <v>70</v>
      </c>
    </row>
    <row r="148" spans="2:6" x14ac:dyDescent="0.35">
      <c r="C148" t="s">
        <v>1663</v>
      </c>
      <c r="D148" t="s">
        <v>1664</v>
      </c>
      <c r="E148" s="40">
        <v>2</v>
      </c>
      <c r="F148" s="43">
        <v>210</v>
      </c>
    </row>
    <row r="149" spans="2:6" x14ac:dyDescent="0.35">
      <c r="C149" t="s">
        <v>1665</v>
      </c>
      <c r="D149" t="s">
        <v>1861</v>
      </c>
      <c r="E149" s="40">
        <v>9</v>
      </c>
      <c r="F149" s="43">
        <v>75</v>
      </c>
    </row>
    <row r="150" spans="2:6" x14ac:dyDescent="0.35">
      <c r="C150" t="s">
        <v>1666</v>
      </c>
      <c r="D150" t="s">
        <v>1667</v>
      </c>
      <c r="E150" s="40">
        <v>3</v>
      </c>
      <c r="F150" s="43">
        <v>210</v>
      </c>
    </row>
    <row r="151" spans="2:6" x14ac:dyDescent="0.35">
      <c r="C151" t="s">
        <v>1668</v>
      </c>
      <c r="D151" t="s">
        <v>1669</v>
      </c>
      <c r="E151" s="40">
        <v>3</v>
      </c>
      <c r="F151" s="43">
        <v>210</v>
      </c>
    </row>
    <row r="152" spans="2:6" x14ac:dyDescent="0.35">
      <c r="C152" t="s">
        <v>1670</v>
      </c>
      <c r="D152" t="s">
        <v>1671</v>
      </c>
      <c r="E152" s="40">
        <v>1</v>
      </c>
      <c r="F152" s="43">
        <v>315</v>
      </c>
    </row>
    <row r="153" spans="2:6" x14ac:dyDescent="0.35">
      <c r="C153" t="s">
        <v>1674</v>
      </c>
      <c r="D153" t="s">
        <v>1675</v>
      </c>
      <c r="E153" s="40">
        <v>7</v>
      </c>
      <c r="F153" s="43">
        <v>100</v>
      </c>
    </row>
    <row r="154" spans="2:6" x14ac:dyDescent="0.35">
      <c r="C154" t="s">
        <v>1676</v>
      </c>
      <c r="D154" t="s">
        <v>1677</v>
      </c>
      <c r="E154" s="40">
        <v>1</v>
      </c>
      <c r="F154" s="43">
        <v>50</v>
      </c>
    </row>
    <row r="155" spans="2:6" x14ac:dyDescent="0.35">
      <c r="C155" t="s">
        <v>1679</v>
      </c>
      <c r="D155" t="s">
        <v>1680</v>
      </c>
      <c r="E155" s="40">
        <v>4</v>
      </c>
      <c r="F155" s="43">
        <v>100</v>
      </c>
    </row>
    <row r="156" spans="2:6" x14ac:dyDescent="0.35">
      <c r="C156" t="s">
        <v>1681</v>
      </c>
      <c r="D156" t="s">
        <v>1682</v>
      </c>
      <c r="E156" s="40">
        <v>4</v>
      </c>
      <c r="F156" s="43">
        <v>175</v>
      </c>
    </row>
    <row r="157" spans="2:6" x14ac:dyDescent="0.35">
      <c r="C157" t="s">
        <v>1683</v>
      </c>
      <c r="D157" t="s">
        <v>1684</v>
      </c>
      <c r="E157" s="40">
        <v>3</v>
      </c>
      <c r="F157" s="43">
        <v>240</v>
      </c>
    </row>
    <row r="158" spans="2:6" x14ac:dyDescent="0.35">
      <c r="B158" t="s">
        <v>432</v>
      </c>
      <c r="C158" t="s">
        <v>433</v>
      </c>
      <c r="D158" t="s">
        <v>434</v>
      </c>
      <c r="E158" s="40">
        <v>1</v>
      </c>
      <c r="F158" s="43">
        <v>210</v>
      </c>
    </row>
    <row r="159" spans="2:6" x14ac:dyDescent="0.35">
      <c r="C159" t="s">
        <v>435</v>
      </c>
      <c r="D159" t="s">
        <v>436</v>
      </c>
      <c r="E159" s="40">
        <v>5</v>
      </c>
      <c r="F159" s="43">
        <v>390</v>
      </c>
    </row>
    <row r="160" spans="2:6" x14ac:dyDescent="0.35">
      <c r="B160" t="s">
        <v>1615</v>
      </c>
      <c r="C160" t="s">
        <v>1630</v>
      </c>
      <c r="D160" t="s">
        <v>1631</v>
      </c>
      <c r="E160" s="40">
        <v>12</v>
      </c>
      <c r="F160" s="43">
        <v>30</v>
      </c>
    </row>
    <row r="161" spans="1:6" x14ac:dyDescent="0.35">
      <c r="C161" t="s">
        <v>1616</v>
      </c>
      <c r="D161" t="s">
        <v>1617</v>
      </c>
      <c r="E161" s="40">
        <v>26</v>
      </c>
      <c r="F161" s="43">
        <v>50</v>
      </c>
    </row>
    <row r="162" spans="1:6" x14ac:dyDescent="0.35">
      <c r="C162" t="s">
        <v>1618</v>
      </c>
      <c r="D162" t="s">
        <v>1619</v>
      </c>
      <c r="E162" s="40">
        <v>17</v>
      </c>
      <c r="F162" s="43">
        <v>90</v>
      </c>
    </row>
    <row r="163" spans="1:6" x14ac:dyDescent="0.35">
      <c r="C163" t="s">
        <v>1632</v>
      </c>
      <c r="D163" t="s">
        <v>1633</v>
      </c>
      <c r="E163" s="40">
        <v>8</v>
      </c>
      <c r="F163" s="43">
        <v>80</v>
      </c>
    </row>
    <row r="164" spans="1:6" x14ac:dyDescent="0.35">
      <c r="C164" t="s">
        <v>1622</v>
      </c>
      <c r="D164" t="s">
        <v>1623</v>
      </c>
      <c r="E164" s="40">
        <v>5</v>
      </c>
      <c r="F164" s="43">
        <v>70</v>
      </c>
    </row>
    <row r="165" spans="1:6" x14ac:dyDescent="0.35">
      <c r="C165">
        <v>8886950074498</v>
      </c>
      <c r="D165" t="s">
        <v>1883</v>
      </c>
      <c r="E165" s="40">
        <v>3</v>
      </c>
      <c r="F165" s="43">
        <v>150</v>
      </c>
    </row>
    <row r="166" spans="1:6" x14ac:dyDescent="0.35">
      <c r="C166">
        <v>8886950099477</v>
      </c>
      <c r="D166" t="s">
        <v>1884</v>
      </c>
      <c r="E166" s="40">
        <v>1</v>
      </c>
      <c r="F166" s="43">
        <v>115</v>
      </c>
    </row>
    <row r="167" spans="1:6" x14ac:dyDescent="0.35">
      <c r="B167" t="s">
        <v>550</v>
      </c>
      <c r="C167" t="s">
        <v>551</v>
      </c>
      <c r="D167" t="s">
        <v>552</v>
      </c>
      <c r="E167" s="40">
        <v>1</v>
      </c>
      <c r="F167" s="43">
        <v>115</v>
      </c>
    </row>
    <row r="168" spans="1:6" x14ac:dyDescent="0.35">
      <c r="C168" t="s">
        <v>557</v>
      </c>
      <c r="D168" t="s">
        <v>558</v>
      </c>
      <c r="E168" s="40">
        <v>13</v>
      </c>
      <c r="F168" s="43">
        <v>145</v>
      </c>
    </row>
    <row r="169" spans="1:6" x14ac:dyDescent="0.35">
      <c r="C169" t="s">
        <v>559</v>
      </c>
      <c r="D169" t="s">
        <v>560</v>
      </c>
      <c r="E169" s="40">
        <v>4</v>
      </c>
      <c r="F169" s="43">
        <v>145</v>
      </c>
    </row>
    <row r="170" spans="1:6" x14ac:dyDescent="0.35">
      <c r="C170" t="s">
        <v>561</v>
      </c>
      <c r="D170" t="s">
        <v>562</v>
      </c>
      <c r="E170" s="40">
        <v>4</v>
      </c>
      <c r="F170" s="43">
        <v>145</v>
      </c>
    </row>
    <row r="171" spans="1:6" x14ac:dyDescent="0.35">
      <c r="C171" t="s">
        <v>563</v>
      </c>
      <c r="D171" t="s">
        <v>558</v>
      </c>
      <c r="E171" s="40">
        <v>1</v>
      </c>
      <c r="F171" s="43">
        <v>145</v>
      </c>
    </row>
    <row r="172" spans="1:6" x14ac:dyDescent="0.35">
      <c r="C172" t="s">
        <v>564</v>
      </c>
      <c r="D172" t="s">
        <v>565</v>
      </c>
      <c r="E172" s="40">
        <v>4</v>
      </c>
      <c r="F172" s="43">
        <v>145</v>
      </c>
    </row>
    <row r="173" spans="1:6" x14ac:dyDescent="0.35">
      <c r="C173">
        <v>8886950039381</v>
      </c>
      <c r="D173" t="s">
        <v>1885</v>
      </c>
      <c r="E173" s="40">
        <v>2</v>
      </c>
      <c r="F173" s="43">
        <v>420</v>
      </c>
    </row>
    <row r="174" spans="1:6" x14ac:dyDescent="0.35">
      <c r="B174" t="s">
        <v>1503</v>
      </c>
      <c r="C174" t="s">
        <v>1504</v>
      </c>
      <c r="D174" t="s">
        <v>1505</v>
      </c>
      <c r="E174" s="40">
        <v>2</v>
      </c>
      <c r="F174" s="43">
        <v>360</v>
      </c>
    </row>
    <row r="175" spans="1:6" x14ac:dyDescent="0.35">
      <c r="A175" t="s">
        <v>14</v>
      </c>
      <c r="B175" t="s">
        <v>14</v>
      </c>
      <c r="C175" t="s">
        <v>375</v>
      </c>
      <c r="D175" t="s">
        <v>376</v>
      </c>
      <c r="E175" s="40">
        <v>5</v>
      </c>
      <c r="F175" s="43">
        <v>240</v>
      </c>
    </row>
    <row r="176" spans="1:6" x14ac:dyDescent="0.35">
      <c r="C176" t="s">
        <v>377</v>
      </c>
      <c r="D176" t="s">
        <v>378</v>
      </c>
      <c r="E176" s="40">
        <v>6</v>
      </c>
      <c r="F176" s="43">
        <v>200</v>
      </c>
    </row>
    <row r="177" spans="1:6" x14ac:dyDescent="0.35">
      <c r="A177" t="s">
        <v>1852</v>
      </c>
      <c r="B177" t="s">
        <v>1693</v>
      </c>
      <c r="C177" t="s">
        <v>1696</v>
      </c>
      <c r="D177" t="s">
        <v>1642</v>
      </c>
      <c r="E177" s="40">
        <v>3</v>
      </c>
      <c r="F177" s="43">
        <v>240</v>
      </c>
    </row>
    <row r="178" spans="1:6" x14ac:dyDescent="0.35">
      <c r="C178" t="s">
        <v>1697</v>
      </c>
      <c r="D178" t="s">
        <v>1698</v>
      </c>
      <c r="E178" s="40">
        <v>4</v>
      </c>
      <c r="F178" s="43">
        <v>80</v>
      </c>
    </row>
    <row r="179" spans="1:6" x14ac:dyDescent="0.35">
      <c r="B179" t="s">
        <v>1699</v>
      </c>
      <c r="C179" t="s">
        <v>1700</v>
      </c>
      <c r="D179" t="s">
        <v>1701</v>
      </c>
      <c r="E179" s="40">
        <v>2</v>
      </c>
      <c r="F179" s="43">
        <v>290</v>
      </c>
    </row>
    <row r="180" spans="1:6" x14ac:dyDescent="0.35">
      <c r="A180" t="s">
        <v>1854</v>
      </c>
      <c r="B180" t="s">
        <v>1690</v>
      </c>
      <c r="C180" t="s">
        <v>1691</v>
      </c>
      <c r="D180" t="s">
        <v>1692</v>
      </c>
      <c r="E180" s="40">
        <v>5</v>
      </c>
      <c r="F180" s="43">
        <v>190</v>
      </c>
    </row>
    <row r="181" spans="1:6" x14ac:dyDescent="0.35">
      <c r="A181" t="s">
        <v>1855</v>
      </c>
      <c r="B181" t="s">
        <v>1699</v>
      </c>
      <c r="C181" t="s">
        <v>1702</v>
      </c>
      <c r="D181" t="s">
        <v>1703</v>
      </c>
      <c r="E181" s="40">
        <v>2</v>
      </c>
      <c r="F181" s="43">
        <v>320</v>
      </c>
    </row>
    <row r="182" spans="1:6" x14ac:dyDescent="0.35">
      <c r="A182" t="s">
        <v>1835</v>
      </c>
      <c r="B182" t="s">
        <v>692</v>
      </c>
      <c r="C182" t="s">
        <v>693</v>
      </c>
      <c r="D182" t="s">
        <v>694</v>
      </c>
      <c r="E182" s="40">
        <v>2</v>
      </c>
      <c r="F182" s="43">
        <v>95</v>
      </c>
    </row>
    <row r="183" spans="1:6" x14ac:dyDescent="0.35">
      <c r="C183" t="s">
        <v>703</v>
      </c>
      <c r="D183" t="s">
        <v>704</v>
      </c>
      <c r="E183" s="40">
        <v>1</v>
      </c>
      <c r="F183" s="43">
        <v>200</v>
      </c>
    </row>
    <row r="184" spans="1:6" x14ac:dyDescent="0.35">
      <c r="B184" t="s">
        <v>1714</v>
      </c>
      <c r="C184" t="s">
        <v>1717</v>
      </c>
      <c r="D184" t="s">
        <v>1718</v>
      </c>
      <c r="E184" s="40">
        <v>6</v>
      </c>
      <c r="F184" s="43">
        <v>25</v>
      </c>
    </row>
    <row r="185" spans="1:6" x14ac:dyDescent="0.35">
      <c r="C185" t="s">
        <v>1719</v>
      </c>
      <c r="D185" t="s">
        <v>1720</v>
      </c>
      <c r="E185" s="40">
        <v>5</v>
      </c>
      <c r="F185" s="43">
        <v>100</v>
      </c>
    </row>
    <row r="186" spans="1:6" x14ac:dyDescent="0.35">
      <c r="A186" t="s">
        <v>1837</v>
      </c>
      <c r="B186" t="s">
        <v>793</v>
      </c>
      <c r="C186" t="s">
        <v>806</v>
      </c>
      <c r="D186" t="s">
        <v>807</v>
      </c>
      <c r="E186" s="40">
        <v>2</v>
      </c>
      <c r="F186" s="43">
        <v>280</v>
      </c>
    </row>
    <row r="187" spans="1:6" x14ac:dyDescent="0.35">
      <c r="B187" t="s">
        <v>784</v>
      </c>
      <c r="C187" t="s">
        <v>785</v>
      </c>
      <c r="D187" t="s">
        <v>786</v>
      </c>
      <c r="E187" s="40">
        <v>5</v>
      </c>
      <c r="F187" s="43">
        <v>120</v>
      </c>
    </row>
    <row r="188" spans="1:6" x14ac:dyDescent="0.35">
      <c r="A188" t="s">
        <v>1866</v>
      </c>
      <c r="B188" t="s">
        <v>1435</v>
      </c>
      <c r="C188" t="s">
        <v>1436</v>
      </c>
      <c r="D188" t="s">
        <v>1437</v>
      </c>
      <c r="E188" s="40">
        <v>50</v>
      </c>
      <c r="F188" s="43">
        <v>45</v>
      </c>
    </row>
    <row r="189" spans="1:6" x14ac:dyDescent="0.35">
      <c r="A189" t="s">
        <v>989</v>
      </c>
      <c r="B189" t="s">
        <v>989</v>
      </c>
      <c r="C189" t="s">
        <v>992</v>
      </c>
      <c r="D189" t="s">
        <v>993</v>
      </c>
      <c r="E189" s="40">
        <v>1</v>
      </c>
      <c r="F189" s="43">
        <v>200</v>
      </c>
    </row>
    <row r="190" spans="1:6" x14ac:dyDescent="0.35">
      <c r="A190" t="s">
        <v>1612</v>
      </c>
      <c r="B190" t="s">
        <v>1613</v>
      </c>
      <c r="C190" t="s">
        <v>1614</v>
      </c>
      <c r="D190" t="s">
        <v>248</v>
      </c>
      <c r="E190" s="40">
        <v>8</v>
      </c>
      <c r="F190" s="43">
        <v>60</v>
      </c>
    </row>
    <row r="191" spans="1:6" x14ac:dyDescent="0.35">
      <c r="A191" t="s">
        <v>1038</v>
      </c>
      <c r="B191" t="s">
        <v>1038</v>
      </c>
      <c r="C191" t="s">
        <v>1039</v>
      </c>
      <c r="D191" t="s">
        <v>1040</v>
      </c>
      <c r="E191" s="40">
        <v>1</v>
      </c>
      <c r="F191" s="43">
        <v>300</v>
      </c>
    </row>
    <row r="192" spans="1:6" x14ac:dyDescent="0.35">
      <c r="C192" t="s">
        <v>1041</v>
      </c>
      <c r="D192" t="s">
        <v>1042</v>
      </c>
      <c r="E192" s="40">
        <v>2</v>
      </c>
      <c r="F192" s="43">
        <v>320</v>
      </c>
    </row>
    <row r="193" spans="1:6" x14ac:dyDescent="0.35">
      <c r="A193" t="s">
        <v>12</v>
      </c>
      <c r="B193" t="s">
        <v>14</v>
      </c>
      <c r="C193" t="s">
        <v>379</v>
      </c>
      <c r="D193" t="s">
        <v>1482</v>
      </c>
      <c r="E193" s="40">
        <v>4</v>
      </c>
      <c r="F193" s="43">
        <v>120</v>
      </c>
    </row>
    <row r="194" spans="1:6" x14ac:dyDescent="0.35">
      <c r="C194" t="s">
        <v>383</v>
      </c>
      <c r="D194" t="s">
        <v>91</v>
      </c>
      <c r="E194" s="40">
        <v>2</v>
      </c>
      <c r="F194" s="43">
        <v>400</v>
      </c>
    </row>
    <row r="195" spans="1:6" x14ac:dyDescent="0.35">
      <c r="A195" t="s">
        <v>1829</v>
      </c>
      <c r="B195" t="s">
        <v>465</v>
      </c>
      <c r="C195" t="s">
        <v>466</v>
      </c>
      <c r="D195" t="s">
        <v>467</v>
      </c>
      <c r="E195" s="40">
        <v>5</v>
      </c>
      <c r="F195" s="43">
        <v>210</v>
      </c>
    </row>
    <row r="196" spans="1:6" x14ac:dyDescent="0.35">
      <c r="C196" t="s">
        <v>468</v>
      </c>
      <c r="D196" t="s">
        <v>469</v>
      </c>
      <c r="E196" s="40">
        <v>7</v>
      </c>
      <c r="F196" s="43">
        <v>50</v>
      </c>
    </row>
    <row r="197" spans="1:6" x14ac:dyDescent="0.35">
      <c r="A197" t="s">
        <v>1831</v>
      </c>
      <c r="B197" t="s">
        <v>486</v>
      </c>
      <c r="C197" t="s">
        <v>487</v>
      </c>
      <c r="D197" t="s">
        <v>488</v>
      </c>
      <c r="E197" s="40">
        <v>16</v>
      </c>
      <c r="F197" s="43">
        <v>20</v>
      </c>
    </row>
    <row r="198" spans="1:6" x14ac:dyDescent="0.35">
      <c r="C198" t="s">
        <v>491</v>
      </c>
      <c r="D198" t="s">
        <v>492</v>
      </c>
      <c r="E198" s="40">
        <v>2</v>
      </c>
      <c r="F198" s="43">
        <v>150</v>
      </c>
    </row>
    <row r="199" spans="1:6" x14ac:dyDescent="0.35">
      <c r="A199" t="s">
        <v>1859</v>
      </c>
      <c r="B199" t="s">
        <v>706</v>
      </c>
      <c r="C199" t="s">
        <v>707</v>
      </c>
      <c r="D199" t="s">
        <v>708</v>
      </c>
      <c r="E199" s="40">
        <v>1</v>
      </c>
      <c r="F199" s="43">
        <v>90</v>
      </c>
    </row>
    <row r="200" spans="1:6" x14ac:dyDescent="0.35">
      <c r="A200" t="s">
        <v>1848</v>
      </c>
      <c r="B200" t="s">
        <v>1848</v>
      </c>
      <c r="C200" t="s">
        <v>1483</v>
      </c>
      <c r="D200" t="s">
        <v>1484</v>
      </c>
      <c r="E200" s="40">
        <v>20</v>
      </c>
      <c r="F200" s="43">
        <v>80</v>
      </c>
    </row>
    <row r="201" spans="1:6" x14ac:dyDescent="0.35">
      <c r="A201" t="s">
        <v>1832</v>
      </c>
      <c r="B201" t="s">
        <v>545</v>
      </c>
      <c r="C201" t="s">
        <v>546</v>
      </c>
      <c r="D201" t="s">
        <v>547</v>
      </c>
      <c r="E201" s="40">
        <v>1</v>
      </c>
      <c r="F201" s="43">
        <v>220</v>
      </c>
    </row>
    <row r="202" spans="1:6" x14ac:dyDescent="0.35">
      <c r="A202" t="s">
        <v>420</v>
      </c>
      <c r="B202" t="s">
        <v>874</v>
      </c>
      <c r="C202" t="s">
        <v>875</v>
      </c>
      <c r="D202" t="s">
        <v>876</v>
      </c>
      <c r="E202" s="40">
        <v>5</v>
      </c>
      <c r="F202" s="43">
        <v>20</v>
      </c>
    </row>
    <row r="203" spans="1:6" x14ac:dyDescent="0.35">
      <c r="A203" t="s">
        <v>849</v>
      </c>
      <c r="B203" t="s">
        <v>849</v>
      </c>
      <c r="C203" t="s">
        <v>850</v>
      </c>
      <c r="D203" t="s">
        <v>851</v>
      </c>
      <c r="E203" s="40">
        <v>1</v>
      </c>
      <c r="F203" s="43">
        <v>450</v>
      </c>
    </row>
    <row r="204" spans="1:6" x14ac:dyDescent="0.35">
      <c r="C204" t="s">
        <v>852</v>
      </c>
      <c r="D204" t="s">
        <v>853</v>
      </c>
      <c r="E204" s="40">
        <v>1</v>
      </c>
      <c r="F204" s="43">
        <v>500</v>
      </c>
    </row>
    <row r="205" spans="1:6" x14ac:dyDescent="0.35">
      <c r="C205" t="s">
        <v>854</v>
      </c>
      <c r="D205" t="s">
        <v>855</v>
      </c>
      <c r="E205" s="40">
        <v>4</v>
      </c>
      <c r="F205" s="43">
        <v>320</v>
      </c>
    </row>
    <row r="206" spans="1:6" x14ac:dyDescent="0.35">
      <c r="C206" t="s">
        <v>856</v>
      </c>
      <c r="D206" t="s">
        <v>857</v>
      </c>
      <c r="E206" s="40">
        <v>2</v>
      </c>
      <c r="F206" s="43">
        <v>500</v>
      </c>
    </row>
    <row r="207" spans="1:6" x14ac:dyDescent="0.35">
      <c r="A207" t="s">
        <v>1730</v>
      </c>
      <c r="B207" t="s">
        <v>1731</v>
      </c>
      <c r="C207" t="s">
        <v>1732</v>
      </c>
      <c r="D207" t="s">
        <v>1733</v>
      </c>
      <c r="E207" s="40">
        <v>3</v>
      </c>
      <c r="F207" s="43">
        <v>180</v>
      </c>
    </row>
    <row r="208" spans="1:6" x14ac:dyDescent="0.35">
      <c r="C208" t="s">
        <v>1734</v>
      </c>
      <c r="D208" t="s">
        <v>1735</v>
      </c>
      <c r="E208" s="40">
        <v>5</v>
      </c>
      <c r="F208" s="43">
        <v>350</v>
      </c>
    </row>
    <row r="209" spans="1:6" x14ac:dyDescent="0.35">
      <c r="A209" t="s">
        <v>1849</v>
      </c>
      <c r="B209" t="s">
        <v>1516</v>
      </c>
      <c r="C209" t="s">
        <v>1517</v>
      </c>
      <c r="D209" t="s">
        <v>1518</v>
      </c>
      <c r="E209" s="40">
        <v>1</v>
      </c>
      <c r="F209" s="43">
        <v>860</v>
      </c>
    </row>
    <row r="210" spans="1:6" x14ac:dyDescent="0.35">
      <c r="C210" t="s">
        <v>1523</v>
      </c>
      <c r="D210" t="s">
        <v>1524</v>
      </c>
      <c r="E210" s="40">
        <v>1</v>
      </c>
      <c r="F210" s="43">
        <v>860</v>
      </c>
    </row>
    <row r="211" spans="1:6" x14ac:dyDescent="0.35">
      <c r="A211" t="s">
        <v>1853</v>
      </c>
      <c r="B211" t="s">
        <v>1685</v>
      </c>
      <c r="C211" t="s">
        <v>1686</v>
      </c>
      <c r="D211" t="s">
        <v>1687</v>
      </c>
      <c r="E211" s="40">
        <v>2</v>
      </c>
      <c r="F211" s="43">
        <v>280</v>
      </c>
    </row>
    <row r="212" spans="1:6" x14ac:dyDescent="0.35">
      <c r="C212" t="s">
        <v>1688</v>
      </c>
      <c r="D212" t="s">
        <v>1689</v>
      </c>
      <c r="E212" s="40">
        <v>1</v>
      </c>
      <c r="F212" s="43">
        <v>300</v>
      </c>
    </row>
    <row r="213" spans="1:6" x14ac:dyDescent="0.35">
      <c r="A213" t="s">
        <v>1830</v>
      </c>
      <c r="B213" t="s">
        <v>479</v>
      </c>
      <c r="C213" t="s">
        <v>480</v>
      </c>
      <c r="D213" t="s">
        <v>481</v>
      </c>
      <c r="E213" s="40">
        <v>1</v>
      </c>
      <c r="F213" s="43">
        <v>280</v>
      </c>
    </row>
    <row r="214" spans="1:6" x14ac:dyDescent="0.35">
      <c r="C214" t="s">
        <v>482</v>
      </c>
      <c r="D214" t="s">
        <v>483</v>
      </c>
      <c r="E214" s="40">
        <v>2</v>
      </c>
      <c r="F214" s="43">
        <v>100</v>
      </c>
    </row>
    <row r="215" spans="1:6" x14ac:dyDescent="0.35">
      <c r="A215" t="s">
        <v>1865</v>
      </c>
      <c r="B215" t="s">
        <v>1374</v>
      </c>
      <c r="C215" t="s">
        <v>1375</v>
      </c>
      <c r="D215" t="s">
        <v>1376</v>
      </c>
      <c r="E215" s="40">
        <v>4</v>
      </c>
      <c r="F215" s="43">
        <v>280</v>
      </c>
    </row>
    <row r="216" spans="1:6" x14ac:dyDescent="0.35">
      <c r="C216" t="s">
        <v>1377</v>
      </c>
      <c r="D216" t="s">
        <v>1378</v>
      </c>
      <c r="E216" s="40">
        <v>7</v>
      </c>
      <c r="F216" s="43">
        <v>280</v>
      </c>
    </row>
    <row r="217" spans="1:6" x14ac:dyDescent="0.35">
      <c r="C217" t="s">
        <v>1381</v>
      </c>
      <c r="D217" t="s">
        <v>1382</v>
      </c>
      <c r="E217" s="40">
        <v>4</v>
      </c>
      <c r="F217" s="43">
        <v>280</v>
      </c>
    </row>
    <row r="218" spans="1:6" x14ac:dyDescent="0.35">
      <c r="C218" t="s">
        <v>1383</v>
      </c>
      <c r="D218" t="s">
        <v>1384</v>
      </c>
      <c r="E218" s="40">
        <v>9</v>
      </c>
      <c r="F218" s="43">
        <v>550</v>
      </c>
    </row>
    <row r="219" spans="1:6" x14ac:dyDescent="0.35">
      <c r="C219" t="s">
        <v>1385</v>
      </c>
      <c r="D219" t="s">
        <v>1386</v>
      </c>
      <c r="E219" s="40">
        <v>4</v>
      </c>
      <c r="F219" s="43">
        <v>550</v>
      </c>
    </row>
    <row r="220" spans="1:6" x14ac:dyDescent="0.35">
      <c r="A220" t="s">
        <v>1120</v>
      </c>
      <c r="B220" t="s">
        <v>831</v>
      </c>
      <c r="C220" t="s">
        <v>832</v>
      </c>
      <c r="D220" t="s">
        <v>833</v>
      </c>
      <c r="E220" s="40">
        <v>1</v>
      </c>
      <c r="F220" s="43">
        <v>145</v>
      </c>
    </row>
    <row r="221" spans="1:6" x14ac:dyDescent="0.35">
      <c r="B221" t="s">
        <v>840</v>
      </c>
      <c r="C221" t="s">
        <v>841</v>
      </c>
      <c r="D221" t="s">
        <v>842</v>
      </c>
      <c r="E221" s="40">
        <v>1</v>
      </c>
      <c r="F221" s="43">
        <v>120</v>
      </c>
    </row>
    <row r="222" spans="1:6" x14ac:dyDescent="0.35">
      <c r="B222" t="s">
        <v>837</v>
      </c>
      <c r="C222" t="s">
        <v>838</v>
      </c>
      <c r="D222" t="s">
        <v>839</v>
      </c>
      <c r="E222" s="40">
        <v>3</v>
      </c>
      <c r="F222" s="43">
        <v>145</v>
      </c>
    </row>
    <row r="223" spans="1:6" x14ac:dyDescent="0.35">
      <c r="B223" t="s">
        <v>1314</v>
      </c>
      <c r="C223" t="s">
        <v>1315</v>
      </c>
      <c r="D223" t="s">
        <v>1316</v>
      </c>
      <c r="E223" s="40">
        <v>1</v>
      </c>
      <c r="F223" s="43">
        <v>230</v>
      </c>
    </row>
    <row r="224" spans="1:6" x14ac:dyDescent="0.35">
      <c r="C224" t="s">
        <v>1317</v>
      </c>
      <c r="D224" t="s">
        <v>1318</v>
      </c>
      <c r="E224" s="40">
        <v>1</v>
      </c>
      <c r="F224" s="43">
        <v>230</v>
      </c>
    </row>
    <row r="225" spans="2:6" x14ac:dyDescent="0.35">
      <c r="C225" t="s">
        <v>1321</v>
      </c>
      <c r="D225" t="s">
        <v>1322</v>
      </c>
      <c r="E225" s="40">
        <v>1</v>
      </c>
      <c r="F225" s="43">
        <v>400</v>
      </c>
    </row>
    <row r="226" spans="2:6" x14ac:dyDescent="0.35">
      <c r="B226" t="s">
        <v>828</v>
      </c>
      <c r="C226" t="s">
        <v>829</v>
      </c>
      <c r="D226" t="s">
        <v>830</v>
      </c>
      <c r="E226" s="40">
        <v>1</v>
      </c>
      <c r="F226" s="43">
        <v>700</v>
      </c>
    </row>
    <row r="227" spans="2:6" x14ac:dyDescent="0.35">
      <c r="B227" t="s">
        <v>787</v>
      </c>
      <c r="C227" t="s">
        <v>788</v>
      </c>
      <c r="D227" t="s">
        <v>789</v>
      </c>
      <c r="E227" s="40">
        <v>1</v>
      </c>
      <c r="F227" s="43">
        <v>340</v>
      </c>
    </row>
    <row r="228" spans="2:6" x14ac:dyDescent="0.35">
      <c r="B228" t="s">
        <v>834</v>
      </c>
      <c r="C228" t="s">
        <v>835</v>
      </c>
      <c r="D228" t="s">
        <v>836</v>
      </c>
      <c r="E228" s="40">
        <v>1</v>
      </c>
      <c r="F228" s="43">
        <v>145</v>
      </c>
    </row>
    <row r="229" spans="2:6" x14ac:dyDescent="0.35">
      <c r="B229" t="s">
        <v>903</v>
      </c>
      <c r="C229" t="s">
        <v>916</v>
      </c>
      <c r="D229" t="s">
        <v>917</v>
      </c>
      <c r="E229" s="40">
        <v>6</v>
      </c>
      <c r="F229" s="43">
        <v>80</v>
      </c>
    </row>
    <row r="230" spans="2:6" x14ac:dyDescent="0.35">
      <c r="B230" t="s">
        <v>1121</v>
      </c>
      <c r="C230" t="s">
        <v>1122</v>
      </c>
      <c r="D230" t="s">
        <v>1123</v>
      </c>
      <c r="E230" s="40">
        <v>4</v>
      </c>
      <c r="F230" s="43">
        <v>80</v>
      </c>
    </row>
    <row r="231" spans="2:6" x14ac:dyDescent="0.35">
      <c r="C231" t="s">
        <v>1124</v>
      </c>
      <c r="D231" t="s">
        <v>1125</v>
      </c>
      <c r="E231" s="40">
        <v>3</v>
      </c>
      <c r="F231" s="43">
        <v>145</v>
      </c>
    </row>
    <row r="232" spans="2:6" x14ac:dyDescent="0.35">
      <c r="C232" t="s">
        <v>1128</v>
      </c>
      <c r="D232" t="s">
        <v>1129</v>
      </c>
      <c r="E232" s="40">
        <v>2</v>
      </c>
      <c r="F232" s="43">
        <v>145</v>
      </c>
    </row>
    <row r="233" spans="2:6" x14ac:dyDescent="0.35">
      <c r="C233" t="s">
        <v>1130</v>
      </c>
      <c r="D233" t="s">
        <v>1131</v>
      </c>
      <c r="E233" s="40">
        <v>1</v>
      </c>
      <c r="F233" s="43">
        <v>145</v>
      </c>
    </row>
    <row r="234" spans="2:6" x14ac:dyDescent="0.35">
      <c r="C234" t="s">
        <v>1132</v>
      </c>
      <c r="D234" t="s">
        <v>1133</v>
      </c>
      <c r="E234" s="40">
        <v>3</v>
      </c>
      <c r="F234" s="43">
        <v>250</v>
      </c>
    </row>
    <row r="235" spans="2:6" x14ac:dyDescent="0.35">
      <c r="C235" t="s">
        <v>1134</v>
      </c>
      <c r="D235" t="s">
        <v>1135</v>
      </c>
      <c r="E235" s="40">
        <v>2</v>
      </c>
      <c r="F235" s="43">
        <v>135</v>
      </c>
    </row>
    <row r="236" spans="2:6" x14ac:dyDescent="0.35">
      <c r="C236" t="s">
        <v>1136</v>
      </c>
      <c r="D236" t="s">
        <v>1137</v>
      </c>
      <c r="E236" s="40">
        <v>4</v>
      </c>
      <c r="F236" s="43">
        <v>150</v>
      </c>
    </row>
    <row r="237" spans="2:6" x14ac:dyDescent="0.35">
      <c r="C237" t="s">
        <v>1138</v>
      </c>
      <c r="D237" t="s">
        <v>1139</v>
      </c>
      <c r="E237" s="40">
        <v>1</v>
      </c>
      <c r="F237" s="43">
        <v>145</v>
      </c>
    </row>
    <row r="238" spans="2:6" x14ac:dyDescent="0.35">
      <c r="C238" t="s">
        <v>1140</v>
      </c>
      <c r="D238" t="s">
        <v>1141</v>
      </c>
      <c r="E238" s="40">
        <v>2</v>
      </c>
      <c r="F238" s="43">
        <v>280</v>
      </c>
    </row>
    <row r="239" spans="2:6" x14ac:dyDescent="0.35">
      <c r="C239" t="s">
        <v>1142</v>
      </c>
      <c r="D239" t="s">
        <v>1143</v>
      </c>
      <c r="E239" s="40">
        <v>3</v>
      </c>
      <c r="F239" s="43">
        <v>280</v>
      </c>
    </row>
    <row r="240" spans="2:6" x14ac:dyDescent="0.35">
      <c r="C240" t="s">
        <v>1144</v>
      </c>
      <c r="D240" t="s">
        <v>1145</v>
      </c>
      <c r="E240" s="40">
        <v>3</v>
      </c>
      <c r="F240" s="43">
        <v>280</v>
      </c>
    </row>
    <row r="241" spans="3:6" x14ac:dyDescent="0.35">
      <c r="C241" t="s">
        <v>1146</v>
      </c>
      <c r="D241" t="s">
        <v>1147</v>
      </c>
      <c r="E241" s="40">
        <v>3</v>
      </c>
      <c r="F241" s="43">
        <v>145</v>
      </c>
    </row>
    <row r="242" spans="3:6" x14ac:dyDescent="0.35">
      <c r="C242" t="s">
        <v>1148</v>
      </c>
      <c r="D242" t="s">
        <v>1149</v>
      </c>
      <c r="E242" s="40">
        <v>12</v>
      </c>
      <c r="F242" s="43">
        <v>80</v>
      </c>
    </row>
    <row r="243" spans="3:6" x14ac:dyDescent="0.35">
      <c r="C243" t="s">
        <v>1150</v>
      </c>
      <c r="D243" t="s">
        <v>1151</v>
      </c>
      <c r="E243" s="40">
        <v>6</v>
      </c>
      <c r="F243" s="43">
        <v>80</v>
      </c>
    </row>
    <row r="244" spans="3:6" x14ac:dyDescent="0.35">
      <c r="C244" t="s">
        <v>1152</v>
      </c>
      <c r="D244" t="s">
        <v>1153</v>
      </c>
      <c r="E244" s="40">
        <v>3</v>
      </c>
      <c r="F244" s="43">
        <v>80</v>
      </c>
    </row>
    <row r="245" spans="3:6" x14ac:dyDescent="0.35">
      <c r="C245" t="s">
        <v>1154</v>
      </c>
      <c r="D245" t="s">
        <v>1862</v>
      </c>
      <c r="E245" s="40">
        <v>9</v>
      </c>
      <c r="F245" s="43">
        <v>80</v>
      </c>
    </row>
    <row r="246" spans="3:6" x14ac:dyDescent="0.35">
      <c r="C246" t="s">
        <v>1157</v>
      </c>
      <c r="D246" t="s">
        <v>1158</v>
      </c>
      <c r="E246" s="40">
        <v>1</v>
      </c>
      <c r="F246" s="43">
        <v>280</v>
      </c>
    </row>
    <row r="247" spans="3:6" x14ac:dyDescent="0.35">
      <c r="C247" t="s">
        <v>1159</v>
      </c>
      <c r="D247" t="s">
        <v>1160</v>
      </c>
      <c r="E247" s="40">
        <v>2</v>
      </c>
      <c r="F247" s="43">
        <v>140</v>
      </c>
    </row>
    <row r="248" spans="3:6" x14ac:dyDescent="0.35">
      <c r="C248" t="s">
        <v>1161</v>
      </c>
      <c r="D248" t="s">
        <v>1162</v>
      </c>
      <c r="E248" s="40">
        <v>3</v>
      </c>
      <c r="F248" s="43">
        <v>145</v>
      </c>
    </row>
    <row r="249" spans="3:6" x14ac:dyDescent="0.35">
      <c r="C249" t="s">
        <v>1163</v>
      </c>
      <c r="D249" t="s">
        <v>1164</v>
      </c>
      <c r="E249" s="40">
        <v>8</v>
      </c>
      <c r="F249" s="43">
        <v>70</v>
      </c>
    </row>
    <row r="250" spans="3:6" x14ac:dyDescent="0.35">
      <c r="C250" t="s">
        <v>1165</v>
      </c>
      <c r="D250" t="s">
        <v>1166</v>
      </c>
      <c r="E250" s="40">
        <v>2</v>
      </c>
      <c r="F250" s="43">
        <v>130</v>
      </c>
    </row>
    <row r="251" spans="3:6" x14ac:dyDescent="0.35">
      <c r="C251" t="s">
        <v>1169</v>
      </c>
      <c r="D251" t="s">
        <v>1170</v>
      </c>
      <c r="E251" s="40">
        <v>3</v>
      </c>
      <c r="F251" s="43">
        <v>260</v>
      </c>
    </row>
    <row r="252" spans="3:6" x14ac:dyDescent="0.35">
      <c r="C252" t="s">
        <v>1171</v>
      </c>
      <c r="D252" t="s">
        <v>1172</v>
      </c>
      <c r="E252" s="40">
        <v>7</v>
      </c>
      <c r="F252" s="43">
        <v>60</v>
      </c>
    </row>
    <row r="253" spans="3:6" x14ac:dyDescent="0.35">
      <c r="C253" t="s">
        <v>1173</v>
      </c>
      <c r="D253" t="s">
        <v>1174</v>
      </c>
      <c r="E253" s="40">
        <v>3</v>
      </c>
      <c r="F253" s="43">
        <v>60</v>
      </c>
    </row>
    <row r="254" spans="3:6" x14ac:dyDescent="0.35">
      <c r="C254" t="s">
        <v>1175</v>
      </c>
      <c r="D254" t="s">
        <v>1176</v>
      </c>
      <c r="E254" s="40">
        <v>2</v>
      </c>
      <c r="F254" s="43">
        <v>130</v>
      </c>
    </row>
    <row r="255" spans="3:6" x14ac:dyDescent="0.35">
      <c r="C255" t="s">
        <v>1177</v>
      </c>
      <c r="D255" t="s">
        <v>1178</v>
      </c>
      <c r="E255" s="40">
        <v>1</v>
      </c>
      <c r="F255" s="43">
        <v>130</v>
      </c>
    </row>
    <row r="256" spans="3:6" x14ac:dyDescent="0.35">
      <c r="C256" t="s">
        <v>1179</v>
      </c>
      <c r="D256" t="s">
        <v>1180</v>
      </c>
      <c r="E256" s="40">
        <v>4</v>
      </c>
      <c r="F256" s="43">
        <v>40</v>
      </c>
    </row>
    <row r="257" spans="1:6" x14ac:dyDescent="0.35">
      <c r="A257" t="s">
        <v>1838</v>
      </c>
      <c r="B257" t="s">
        <v>816</v>
      </c>
      <c r="C257" t="s">
        <v>817</v>
      </c>
      <c r="D257" t="s">
        <v>818</v>
      </c>
      <c r="E257" s="40">
        <v>5</v>
      </c>
      <c r="F257" s="43">
        <v>50</v>
      </c>
    </row>
    <row r="258" spans="1:6" x14ac:dyDescent="0.35">
      <c r="B258" t="s">
        <v>819</v>
      </c>
      <c r="C258" t="s">
        <v>820</v>
      </c>
      <c r="D258" t="s">
        <v>821</v>
      </c>
      <c r="E258" s="40">
        <v>3</v>
      </c>
      <c r="F258" s="43">
        <v>750</v>
      </c>
    </row>
    <row r="259" spans="1:6" x14ac:dyDescent="0.35">
      <c r="C259" t="s">
        <v>824</v>
      </c>
      <c r="D259" t="s">
        <v>825</v>
      </c>
      <c r="E259" s="40">
        <v>39</v>
      </c>
      <c r="F259" s="43">
        <v>30</v>
      </c>
    </row>
    <row r="260" spans="1:6" x14ac:dyDescent="0.35">
      <c r="C260" t="s">
        <v>826</v>
      </c>
      <c r="D260" t="s">
        <v>827</v>
      </c>
      <c r="E260" s="40">
        <v>1</v>
      </c>
      <c r="F260" s="43">
        <v>500</v>
      </c>
    </row>
    <row r="261" spans="1:6" x14ac:dyDescent="0.35">
      <c r="A261" t="s">
        <v>1863</v>
      </c>
      <c r="B261" t="s">
        <v>1390</v>
      </c>
      <c r="C261" t="s">
        <v>1395</v>
      </c>
      <c r="D261" t="s">
        <v>1396</v>
      </c>
      <c r="E261" s="40">
        <v>1</v>
      </c>
      <c r="F261" s="43">
        <v>220</v>
      </c>
    </row>
    <row r="262" spans="1:6" x14ac:dyDescent="0.35">
      <c r="C262" t="s">
        <v>1397</v>
      </c>
      <c r="D262" t="s">
        <v>1398</v>
      </c>
      <c r="E262" s="40">
        <v>2</v>
      </c>
      <c r="F262" s="43">
        <v>420</v>
      </c>
    </row>
    <row r="263" spans="1:6" x14ac:dyDescent="0.35">
      <c r="C263" t="s">
        <v>1399</v>
      </c>
      <c r="D263" t="s">
        <v>1400</v>
      </c>
      <c r="E263" s="40">
        <v>1</v>
      </c>
      <c r="F263" s="43">
        <v>220</v>
      </c>
    </row>
    <row r="264" spans="1:6" x14ac:dyDescent="0.35">
      <c r="C264" t="s">
        <v>1407</v>
      </c>
      <c r="D264" t="s">
        <v>1408</v>
      </c>
      <c r="E264" s="40">
        <v>1</v>
      </c>
      <c r="F264" s="43">
        <v>180</v>
      </c>
    </row>
    <row r="265" spans="1:6" x14ac:dyDescent="0.35">
      <c r="A265" t="s">
        <v>1851</v>
      </c>
      <c r="B265" t="s">
        <v>1527</v>
      </c>
      <c r="C265" t="s">
        <v>1530</v>
      </c>
      <c r="D265" t="s">
        <v>1531</v>
      </c>
      <c r="E265" s="40">
        <v>10</v>
      </c>
      <c r="F265" s="43">
        <v>270</v>
      </c>
    </row>
    <row r="266" spans="1:6" x14ac:dyDescent="0.35">
      <c r="C266" t="s">
        <v>1532</v>
      </c>
      <c r="D266" t="s">
        <v>1533</v>
      </c>
      <c r="E266" s="40">
        <v>1</v>
      </c>
      <c r="F266" s="43">
        <v>270</v>
      </c>
    </row>
    <row r="267" spans="1:6" x14ac:dyDescent="0.35">
      <c r="C267" t="s">
        <v>1534</v>
      </c>
      <c r="D267" t="s">
        <v>1535</v>
      </c>
      <c r="E267" s="40">
        <v>1</v>
      </c>
      <c r="F267" s="43">
        <v>270</v>
      </c>
    </row>
    <row r="268" spans="1:6" x14ac:dyDescent="0.35">
      <c r="C268" t="s">
        <v>1536</v>
      </c>
      <c r="D268" t="s">
        <v>1537</v>
      </c>
      <c r="E268" s="40">
        <v>2</v>
      </c>
      <c r="F268" s="43">
        <v>270</v>
      </c>
    </row>
    <row r="269" spans="1:6" x14ac:dyDescent="0.35">
      <c r="C269" t="s">
        <v>1540</v>
      </c>
      <c r="D269" t="s">
        <v>1541</v>
      </c>
      <c r="E269" s="40">
        <v>1</v>
      </c>
      <c r="F269" s="43">
        <v>270</v>
      </c>
    </row>
    <row r="270" spans="1:6" x14ac:dyDescent="0.35">
      <c r="C270" t="s">
        <v>1546</v>
      </c>
      <c r="D270" t="s">
        <v>1547</v>
      </c>
      <c r="E270" s="40">
        <v>3</v>
      </c>
      <c r="F270" s="43">
        <v>270</v>
      </c>
    </row>
    <row r="271" spans="1:6" x14ac:dyDescent="0.35">
      <c r="C271" t="s">
        <v>1548</v>
      </c>
      <c r="D271" t="s">
        <v>1549</v>
      </c>
      <c r="E271" s="40">
        <v>1</v>
      </c>
      <c r="F271" s="43">
        <v>270</v>
      </c>
    </row>
    <row r="272" spans="1:6" x14ac:dyDescent="0.35">
      <c r="A272" t="s">
        <v>1411</v>
      </c>
      <c r="B272" t="s">
        <v>1643</v>
      </c>
      <c r="C272" t="s">
        <v>1644</v>
      </c>
      <c r="D272" t="s">
        <v>1645</v>
      </c>
      <c r="E272" s="40">
        <v>7</v>
      </c>
      <c r="F272" s="43">
        <v>60</v>
      </c>
    </row>
    <row r="273" spans="1:6" x14ac:dyDescent="0.35">
      <c r="C273" t="s">
        <v>1646</v>
      </c>
      <c r="D273" t="s">
        <v>1647</v>
      </c>
      <c r="E273" s="40">
        <v>6</v>
      </c>
      <c r="F273" s="43">
        <v>30</v>
      </c>
    </row>
    <row r="274" spans="1:6" x14ac:dyDescent="0.35">
      <c r="A274" t="s">
        <v>1057</v>
      </c>
      <c r="B274" t="s">
        <v>1057</v>
      </c>
      <c r="C274" t="s">
        <v>1059</v>
      </c>
      <c r="D274" t="s">
        <v>1058</v>
      </c>
      <c r="E274" s="40">
        <v>1</v>
      </c>
      <c r="F274" s="43">
        <v>240</v>
      </c>
    </row>
    <row r="275" spans="1:6" x14ac:dyDescent="0.35">
      <c r="A275" t="s">
        <v>1415</v>
      </c>
      <c r="B275" t="s">
        <v>1415</v>
      </c>
      <c r="C275" t="s">
        <v>1421</v>
      </c>
      <c r="D275" t="s">
        <v>1422</v>
      </c>
      <c r="E275" s="40">
        <v>4</v>
      </c>
      <c r="F275" s="43">
        <v>250</v>
      </c>
    </row>
    <row r="276" spans="1:6" x14ac:dyDescent="0.35">
      <c r="C276" t="s">
        <v>1425</v>
      </c>
      <c r="D276" t="s">
        <v>1426</v>
      </c>
      <c r="E276" s="40">
        <v>4</v>
      </c>
      <c r="F276" s="43">
        <v>200</v>
      </c>
    </row>
    <row r="277" spans="1:6" x14ac:dyDescent="0.35">
      <c r="C277" t="s">
        <v>1427</v>
      </c>
      <c r="D277" t="s">
        <v>1428</v>
      </c>
      <c r="E277" s="40">
        <v>3</v>
      </c>
      <c r="F277" s="43">
        <v>100</v>
      </c>
    </row>
    <row r="278" spans="1:6" x14ac:dyDescent="0.35">
      <c r="A278" t="s">
        <v>1373</v>
      </c>
      <c r="B278" t="s">
        <v>505</v>
      </c>
      <c r="C278" t="s">
        <v>506</v>
      </c>
      <c r="D278" t="s">
        <v>507</v>
      </c>
      <c r="E278" s="40">
        <v>7</v>
      </c>
      <c r="F278" s="43">
        <v>290</v>
      </c>
    </row>
    <row r="279" spans="1:6" x14ac:dyDescent="0.35">
      <c r="B279" t="s">
        <v>1390</v>
      </c>
      <c r="C279" t="s">
        <v>1391</v>
      </c>
      <c r="D279" t="s">
        <v>1392</v>
      </c>
      <c r="E279" s="40">
        <v>1</v>
      </c>
      <c r="F279" s="43">
        <v>2800</v>
      </c>
    </row>
    <row r="280" spans="1:6" x14ac:dyDescent="0.35">
      <c r="C280" t="s">
        <v>1409</v>
      </c>
      <c r="D280" t="s">
        <v>1410</v>
      </c>
      <c r="E280" s="40">
        <v>6</v>
      </c>
      <c r="F280" s="43">
        <v>180</v>
      </c>
    </row>
    <row r="281" spans="1:6" x14ac:dyDescent="0.35">
      <c r="B281" t="s">
        <v>1553</v>
      </c>
      <c r="C281" t="s">
        <v>1554</v>
      </c>
      <c r="D281" t="s">
        <v>1555</v>
      </c>
      <c r="E281" s="40">
        <v>1</v>
      </c>
      <c r="F281" s="43">
        <v>440</v>
      </c>
    </row>
    <row r="282" spans="1:6" x14ac:dyDescent="0.35">
      <c r="C282" t="s">
        <v>1556</v>
      </c>
      <c r="D282" t="s">
        <v>1557</v>
      </c>
      <c r="E282" s="40">
        <v>1</v>
      </c>
      <c r="F282" s="43">
        <v>730</v>
      </c>
    </row>
    <row r="283" spans="1:6" x14ac:dyDescent="0.35">
      <c r="B283" t="s">
        <v>1412</v>
      </c>
      <c r="C283" t="s">
        <v>1429</v>
      </c>
      <c r="D283" t="s">
        <v>1430</v>
      </c>
      <c r="E283" s="40">
        <v>5</v>
      </c>
      <c r="F283" s="43">
        <v>190</v>
      </c>
    </row>
    <row r="284" spans="1:6" x14ac:dyDescent="0.35">
      <c r="C284" t="s">
        <v>1433</v>
      </c>
      <c r="D284" t="s">
        <v>1434</v>
      </c>
      <c r="E284" s="40">
        <v>6</v>
      </c>
      <c r="F284" s="43">
        <v>200</v>
      </c>
    </row>
    <row r="285" spans="1:6" x14ac:dyDescent="0.35">
      <c r="B285" t="s">
        <v>566</v>
      </c>
      <c r="C285" t="s">
        <v>567</v>
      </c>
      <c r="D285" t="s">
        <v>568</v>
      </c>
      <c r="E285" s="40">
        <v>4</v>
      </c>
      <c r="F285" s="43">
        <v>170</v>
      </c>
    </row>
    <row r="286" spans="1:6" x14ac:dyDescent="0.35">
      <c r="A286" t="s">
        <v>497</v>
      </c>
      <c r="B286" t="s">
        <v>497</v>
      </c>
      <c r="C286" t="s">
        <v>498</v>
      </c>
      <c r="D286" t="s">
        <v>1867</v>
      </c>
      <c r="E286" s="40">
        <v>2</v>
      </c>
      <c r="F286" s="43">
        <v>270</v>
      </c>
    </row>
    <row r="287" spans="1:6" x14ac:dyDescent="0.35">
      <c r="C287" t="s">
        <v>499</v>
      </c>
      <c r="D287" t="s">
        <v>1868</v>
      </c>
      <c r="E287" s="40">
        <v>1</v>
      </c>
      <c r="F287" s="43">
        <v>530</v>
      </c>
    </row>
    <row r="288" spans="1:6" x14ac:dyDescent="0.35">
      <c r="C288" t="s">
        <v>500</v>
      </c>
      <c r="D288" t="s">
        <v>501</v>
      </c>
      <c r="E288" s="40">
        <v>2</v>
      </c>
      <c r="F288" s="43">
        <v>100</v>
      </c>
    </row>
    <row r="289" spans="1:6" x14ac:dyDescent="0.35">
      <c r="C289" t="s">
        <v>502</v>
      </c>
      <c r="D289" t="s">
        <v>503</v>
      </c>
      <c r="E289" s="40">
        <v>6</v>
      </c>
      <c r="F289" s="43">
        <v>230</v>
      </c>
    </row>
    <row r="290" spans="1:6" x14ac:dyDescent="0.35">
      <c r="A290" t="s">
        <v>1052</v>
      </c>
      <c r="B290" t="s">
        <v>1052</v>
      </c>
      <c r="C290" t="s">
        <v>1053</v>
      </c>
      <c r="D290" t="s">
        <v>1054</v>
      </c>
      <c r="E290" s="40">
        <v>1</v>
      </c>
      <c r="F290" s="43">
        <v>190</v>
      </c>
    </row>
    <row r="291" spans="1:6" x14ac:dyDescent="0.35">
      <c r="C291" t="s">
        <v>1055</v>
      </c>
      <c r="D291" t="s">
        <v>1056</v>
      </c>
      <c r="E291" s="40">
        <v>1</v>
      </c>
      <c r="F291" s="43">
        <v>220</v>
      </c>
    </row>
    <row r="292" spans="1:6" x14ac:dyDescent="0.35">
      <c r="A292" t="s">
        <v>1857</v>
      </c>
      <c r="B292" t="s">
        <v>1736</v>
      </c>
      <c r="C292" t="s">
        <v>1737</v>
      </c>
      <c r="D292" t="s">
        <v>1738</v>
      </c>
      <c r="E292" s="40">
        <v>1</v>
      </c>
      <c r="F292" s="43">
        <v>480</v>
      </c>
    </row>
    <row r="293" spans="1:6" x14ac:dyDescent="0.35">
      <c r="C293" t="s">
        <v>1739</v>
      </c>
      <c r="D293" t="s">
        <v>1740</v>
      </c>
      <c r="E293" s="40">
        <v>17</v>
      </c>
      <c r="F293" s="43">
        <v>25</v>
      </c>
    </row>
    <row r="294" spans="1:6" x14ac:dyDescent="0.35">
      <c r="A294" t="s">
        <v>1847</v>
      </c>
      <c r="B294" t="s">
        <v>1602</v>
      </c>
      <c r="C294" t="s">
        <v>1605</v>
      </c>
      <c r="D294" t="s">
        <v>1606</v>
      </c>
      <c r="E294" s="40">
        <v>2</v>
      </c>
      <c r="F294" s="43">
        <v>150</v>
      </c>
    </row>
    <row r="295" spans="1:6" x14ac:dyDescent="0.35">
      <c r="B295" t="s">
        <v>299</v>
      </c>
      <c r="C295" t="s">
        <v>300</v>
      </c>
      <c r="D295" t="s">
        <v>301</v>
      </c>
      <c r="E295" s="40">
        <v>2</v>
      </c>
      <c r="F295" s="43">
        <v>200</v>
      </c>
    </row>
    <row r="296" spans="1:6" x14ac:dyDescent="0.35">
      <c r="C296" t="s">
        <v>308</v>
      </c>
      <c r="D296" t="s">
        <v>309</v>
      </c>
      <c r="E296" s="40">
        <v>2</v>
      </c>
      <c r="F296" s="43">
        <v>470</v>
      </c>
    </row>
    <row r="297" spans="1:6" x14ac:dyDescent="0.35">
      <c r="B297" t="s">
        <v>1438</v>
      </c>
      <c r="C297" t="s">
        <v>1439</v>
      </c>
      <c r="D297" t="s">
        <v>1440</v>
      </c>
      <c r="E297" s="40">
        <v>1</v>
      </c>
      <c r="F297" s="43">
        <v>280</v>
      </c>
    </row>
    <row r="298" spans="1:6" x14ac:dyDescent="0.35">
      <c r="A298" t="s">
        <v>362</v>
      </c>
      <c r="B298" t="s">
        <v>391</v>
      </c>
      <c r="C298" t="s">
        <v>392</v>
      </c>
      <c r="D298" t="s">
        <v>393</v>
      </c>
      <c r="E298" s="40">
        <v>6</v>
      </c>
      <c r="F298" s="43">
        <v>70</v>
      </c>
    </row>
    <row r="299" spans="1:6" x14ac:dyDescent="0.35">
      <c r="C299" t="s">
        <v>394</v>
      </c>
      <c r="D299" t="s">
        <v>395</v>
      </c>
      <c r="E299" s="40">
        <v>11</v>
      </c>
      <c r="F299" s="43">
        <v>50</v>
      </c>
    </row>
    <row r="300" spans="1:6" x14ac:dyDescent="0.35">
      <c r="B300" t="s">
        <v>405</v>
      </c>
      <c r="C300" t="s">
        <v>407</v>
      </c>
      <c r="D300" t="s">
        <v>408</v>
      </c>
      <c r="E300" s="40">
        <v>15</v>
      </c>
      <c r="F300" s="43">
        <v>15</v>
      </c>
    </row>
    <row r="301" spans="1:6" x14ac:dyDescent="0.35">
      <c r="C301" t="s">
        <v>409</v>
      </c>
      <c r="D301" t="s">
        <v>410</v>
      </c>
      <c r="E301" s="40">
        <v>9</v>
      </c>
      <c r="F301" s="43">
        <v>100</v>
      </c>
    </row>
    <row r="302" spans="1:6" x14ac:dyDescent="0.35">
      <c r="C302" t="s">
        <v>411</v>
      </c>
      <c r="D302" t="s">
        <v>412</v>
      </c>
      <c r="E302" s="40">
        <v>4</v>
      </c>
      <c r="F302" s="43">
        <v>50</v>
      </c>
    </row>
    <row r="303" spans="1:6" x14ac:dyDescent="0.35">
      <c r="B303" t="s">
        <v>396</v>
      </c>
      <c r="C303" t="s">
        <v>399</v>
      </c>
      <c r="D303" t="s">
        <v>400</v>
      </c>
      <c r="E303" s="40">
        <v>30</v>
      </c>
      <c r="F303" s="43">
        <v>19</v>
      </c>
    </row>
    <row r="304" spans="1:6" x14ac:dyDescent="0.35">
      <c r="B304" t="s">
        <v>401</v>
      </c>
      <c r="C304" t="s">
        <v>402</v>
      </c>
      <c r="D304" t="s">
        <v>403</v>
      </c>
      <c r="E304" s="40">
        <v>5</v>
      </c>
      <c r="F304" s="43">
        <v>70</v>
      </c>
    </row>
    <row r="305" spans="1:6" x14ac:dyDescent="0.35">
      <c r="B305" t="s">
        <v>384</v>
      </c>
      <c r="C305" t="s">
        <v>385</v>
      </c>
      <c r="D305" t="s">
        <v>386</v>
      </c>
      <c r="E305" s="40">
        <v>12</v>
      </c>
      <c r="F305" s="43">
        <v>30</v>
      </c>
    </row>
    <row r="306" spans="1:6" x14ac:dyDescent="0.35">
      <c r="B306" t="s">
        <v>372</v>
      </c>
      <c r="C306" t="s">
        <v>373</v>
      </c>
      <c r="D306" t="s">
        <v>374</v>
      </c>
      <c r="E306" s="40">
        <v>2</v>
      </c>
      <c r="F306" s="43">
        <v>420</v>
      </c>
    </row>
    <row r="307" spans="1:6" x14ac:dyDescent="0.35">
      <c r="B307" t="s">
        <v>414</v>
      </c>
      <c r="C307" t="s">
        <v>415</v>
      </c>
      <c r="D307" t="s">
        <v>416</v>
      </c>
      <c r="E307" s="40">
        <v>44</v>
      </c>
      <c r="F307" s="43">
        <v>10</v>
      </c>
    </row>
    <row r="308" spans="1:6" x14ac:dyDescent="0.35">
      <c r="B308" t="s">
        <v>365</v>
      </c>
      <c r="C308" t="s">
        <v>366</v>
      </c>
      <c r="D308" t="s">
        <v>367</v>
      </c>
      <c r="E308" s="40">
        <v>1</v>
      </c>
      <c r="F308" s="43">
        <v>340</v>
      </c>
    </row>
    <row r="309" spans="1:6" x14ac:dyDescent="0.35">
      <c r="C309" t="s">
        <v>368</v>
      </c>
      <c r="D309" t="s">
        <v>369</v>
      </c>
      <c r="E309" s="40">
        <v>1</v>
      </c>
      <c r="F309" s="43">
        <v>600</v>
      </c>
    </row>
    <row r="310" spans="1:6" x14ac:dyDescent="0.35">
      <c r="C310" t="s">
        <v>370</v>
      </c>
      <c r="D310" t="s">
        <v>371</v>
      </c>
      <c r="E310" s="40">
        <v>1</v>
      </c>
      <c r="F310" s="43">
        <v>300</v>
      </c>
    </row>
    <row r="311" spans="1:6" x14ac:dyDescent="0.35">
      <c r="A311" t="s">
        <v>1843</v>
      </c>
      <c r="B311" t="s">
        <v>1599</v>
      </c>
      <c r="C311" t="s">
        <v>1600</v>
      </c>
      <c r="D311" t="s">
        <v>1601</v>
      </c>
      <c r="E311" s="40">
        <v>1</v>
      </c>
      <c r="F311" s="43">
        <v>260</v>
      </c>
    </row>
    <row r="312" spans="1:6" x14ac:dyDescent="0.35">
      <c r="B312" t="s">
        <v>1584</v>
      </c>
      <c r="C312" t="s">
        <v>1585</v>
      </c>
      <c r="D312" t="s">
        <v>1586</v>
      </c>
      <c r="E312" s="40">
        <v>2</v>
      </c>
      <c r="F312" s="43">
        <v>230</v>
      </c>
    </row>
    <row r="313" spans="1:6" x14ac:dyDescent="0.35">
      <c r="C313" t="s">
        <v>1587</v>
      </c>
      <c r="D313" t="s">
        <v>1588</v>
      </c>
      <c r="E313" s="40">
        <v>2</v>
      </c>
      <c r="F313" s="43">
        <v>750</v>
      </c>
    </row>
    <row r="314" spans="1:6" x14ac:dyDescent="0.35">
      <c r="B314" t="s">
        <v>1021</v>
      </c>
      <c r="C314" t="s">
        <v>1024</v>
      </c>
      <c r="D314" t="s">
        <v>1025</v>
      </c>
      <c r="E314" s="40">
        <v>2</v>
      </c>
      <c r="F314" s="43">
        <v>310</v>
      </c>
    </row>
    <row r="315" spans="1:6" x14ac:dyDescent="0.35">
      <c r="C315" t="s">
        <v>1028</v>
      </c>
      <c r="D315" t="s">
        <v>1029</v>
      </c>
      <c r="E315" s="40">
        <v>6</v>
      </c>
      <c r="F315" s="43">
        <v>60</v>
      </c>
    </row>
    <row r="316" spans="1:6" x14ac:dyDescent="0.35">
      <c r="C316" t="s">
        <v>1032</v>
      </c>
      <c r="D316" t="s">
        <v>1033</v>
      </c>
      <c r="E316" s="40">
        <v>1</v>
      </c>
      <c r="F316" s="43">
        <v>230</v>
      </c>
    </row>
    <row r="317" spans="1:6" x14ac:dyDescent="0.35">
      <c r="C317" t="s">
        <v>1034</v>
      </c>
      <c r="D317" t="s">
        <v>1035</v>
      </c>
      <c r="E317" s="40">
        <v>3</v>
      </c>
      <c r="F317" s="43">
        <v>240</v>
      </c>
    </row>
    <row r="318" spans="1:6" x14ac:dyDescent="0.35">
      <c r="C318" t="s">
        <v>1036</v>
      </c>
      <c r="D318" t="s">
        <v>1037</v>
      </c>
      <c r="E318" s="40">
        <v>34</v>
      </c>
      <c r="F318" s="43">
        <v>120</v>
      </c>
    </row>
    <row r="319" spans="1:6" x14ac:dyDescent="0.35">
      <c r="B319" t="s">
        <v>1589</v>
      </c>
      <c r="C319" t="s">
        <v>1590</v>
      </c>
      <c r="D319" t="s">
        <v>1591</v>
      </c>
      <c r="E319" s="40">
        <v>1</v>
      </c>
      <c r="F319" s="43">
        <v>220</v>
      </c>
    </row>
    <row r="320" spans="1:6" x14ac:dyDescent="0.35">
      <c r="C320" t="s">
        <v>1593</v>
      </c>
      <c r="D320" t="s">
        <v>1594</v>
      </c>
      <c r="E320" s="40">
        <v>5</v>
      </c>
      <c r="F320" s="43">
        <v>90</v>
      </c>
    </row>
    <row r="321" spans="1:6" x14ac:dyDescent="0.35">
      <c r="A321" t="s">
        <v>1442</v>
      </c>
      <c r="B321" t="s">
        <v>1442</v>
      </c>
      <c r="C321" t="s">
        <v>1508</v>
      </c>
      <c r="D321" t="s">
        <v>1509</v>
      </c>
      <c r="E321" s="40">
        <v>4</v>
      </c>
      <c r="F321" s="43">
        <v>140</v>
      </c>
    </row>
    <row r="322" spans="1:6" x14ac:dyDescent="0.35">
      <c r="C322" t="s">
        <v>1510</v>
      </c>
      <c r="D322" t="s">
        <v>1511</v>
      </c>
      <c r="E322" s="40">
        <v>5</v>
      </c>
      <c r="F322" s="43">
        <v>140</v>
      </c>
    </row>
    <row r="323" spans="1:6" x14ac:dyDescent="0.35">
      <c r="C323" t="s">
        <v>1514</v>
      </c>
      <c r="D323" t="s">
        <v>1515</v>
      </c>
      <c r="E323" s="40">
        <v>3</v>
      </c>
      <c r="F323" s="43">
        <v>90</v>
      </c>
    </row>
    <row r="324" spans="1:6" x14ac:dyDescent="0.35">
      <c r="A324" t="s">
        <v>1845</v>
      </c>
      <c r="B324" t="s">
        <v>1181</v>
      </c>
      <c r="C324" t="s">
        <v>1184</v>
      </c>
      <c r="D324" t="s">
        <v>1185</v>
      </c>
      <c r="E324" s="40">
        <v>3</v>
      </c>
      <c r="F324" s="43">
        <v>260</v>
      </c>
    </row>
    <row r="325" spans="1:6" x14ac:dyDescent="0.35">
      <c r="C325" t="s">
        <v>1186</v>
      </c>
      <c r="D325" t="s">
        <v>1187</v>
      </c>
      <c r="E325" s="40">
        <v>4</v>
      </c>
      <c r="F325" s="43">
        <v>280</v>
      </c>
    </row>
    <row r="326" spans="1:6" x14ac:dyDescent="0.35">
      <c r="C326" t="s">
        <v>1188</v>
      </c>
      <c r="D326" t="s">
        <v>1189</v>
      </c>
      <c r="E326" s="40">
        <v>3</v>
      </c>
      <c r="F326" s="43">
        <v>280</v>
      </c>
    </row>
    <row r="327" spans="1:6" x14ac:dyDescent="0.35">
      <c r="C327" t="s">
        <v>1190</v>
      </c>
      <c r="D327" t="s">
        <v>1191</v>
      </c>
      <c r="E327" s="40">
        <v>2</v>
      </c>
      <c r="F327" s="43">
        <v>260</v>
      </c>
    </row>
    <row r="328" spans="1:6" x14ac:dyDescent="0.35">
      <c r="C328" t="s">
        <v>1194</v>
      </c>
      <c r="D328" t="s">
        <v>1195</v>
      </c>
      <c r="E328" s="40">
        <v>2</v>
      </c>
      <c r="F328" s="43">
        <v>70</v>
      </c>
    </row>
    <row r="329" spans="1:6" x14ac:dyDescent="0.35">
      <c r="C329" t="s">
        <v>1196</v>
      </c>
      <c r="D329" t="s">
        <v>1197</v>
      </c>
      <c r="E329" s="40">
        <v>11</v>
      </c>
      <c r="F329" s="43">
        <v>70</v>
      </c>
    </row>
    <row r="330" spans="1:6" x14ac:dyDescent="0.35">
      <c r="C330" t="s">
        <v>1204</v>
      </c>
      <c r="D330" t="s">
        <v>1205</v>
      </c>
      <c r="E330" s="40">
        <v>5</v>
      </c>
      <c r="F330" s="43">
        <v>70</v>
      </c>
    </row>
    <row r="331" spans="1:6" x14ac:dyDescent="0.35">
      <c r="C331" t="s">
        <v>1208</v>
      </c>
      <c r="D331" t="s">
        <v>1209</v>
      </c>
      <c r="E331" s="40">
        <v>3</v>
      </c>
      <c r="F331" s="43">
        <v>70</v>
      </c>
    </row>
    <row r="332" spans="1:6" x14ac:dyDescent="0.35">
      <c r="C332" t="s">
        <v>1210</v>
      </c>
      <c r="D332" t="s">
        <v>1211</v>
      </c>
      <c r="E332" s="40">
        <v>6</v>
      </c>
      <c r="F332" s="43">
        <v>80</v>
      </c>
    </row>
    <row r="333" spans="1:6" x14ac:dyDescent="0.35">
      <c r="C333" t="s">
        <v>1212</v>
      </c>
      <c r="D333" t="s">
        <v>1213</v>
      </c>
      <c r="E333" s="40">
        <v>5</v>
      </c>
      <c r="F333" s="43">
        <v>260</v>
      </c>
    </row>
    <row r="334" spans="1:6" x14ac:dyDescent="0.35">
      <c r="C334" t="s">
        <v>1238</v>
      </c>
      <c r="D334" t="s">
        <v>1239</v>
      </c>
      <c r="E334" s="40">
        <v>2</v>
      </c>
      <c r="F334" s="43">
        <v>145</v>
      </c>
    </row>
    <row r="335" spans="1:6" x14ac:dyDescent="0.35">
      <c r="C335" t="s">
        <v>1240</v>
      </c>
      <c r="D335" t="s">
        <v>1241</v>
      </c>
      <c r="E335" s="40">
        <v>2</v>
      </c>
      <c r="F335" s="43">
        <v>100</v>
      </c>
    </row>
    <row r="336" spans="1:6" x14ac:dyDescent="0.35">
      <c r="C336" t="s">
        <v>1244</v>
      </c>
      <c r="D336" t="s">
        <v>1245</v>
      </c>
      <c r="E336" s="40">
        <v>3</v>
      </c>
      <c r="F336" s="43">
        <v>260</v>
      </c>
    </row>
    <row r="337" spans="3:6" x14ac:dyDescent="0.35">
      <c r="C337" t="s">
        <v>1246</v>
      </c>
      <c r="D337" t="s">
        <v>1247</v>
      </c>
      <c r="E337" s="40">
        <v>3</v>
      </c>
      <c r="F337" s="43">
        <v>260</v>
      </c>
    </row>
    <row r="338" spans="3:6" x14ac:dyDescent="0.35">
      <c r="C338" t="s">
        <v>1250</v>
      </c>
      <c r="D338" t="s">
        <v>1251</v>
      </c>
      <c r="E338" s="40">
        <v>5</v>
      </c>
      <c r="F338" s="43">
        <v>140</v>
      </c>
    </row>
    <row r="339" spans="3:6" x14ac:dyDescent="0.35">
      <c r="C339" t="s">
        <v>1252</v>
      </c>
      <c r="D339" t="s">
        <v>1253</v>
      </c>
      <c r="E339" s="40">
        <v>2</v>
      </c>
      <c r="F339" s="43">
        <v>145</v>
      </c>
    </row>
    <row r="340" spans="3:6" x14ac:dyDescent="0.35">
      <c r="C340" t="s">
        <v>1254</v>
      </c>
      <c r="D340" t="s">
        <v>1255</v>
      </c>
      <c r="E340" s="40">
        <v>1</v>
      </c>
      <c r="F340" s="43">
        <v>140</v>
      </c>
    </row>
    <row r="341" spans="3:6" x14ac:dyDescent="0.35">
      <c r="C341" t="s">
        <v>1258</v>
      </c>
      <c r="D341" t="s">
        <v>1259</v>
      </c>
      <c r="E341" s="40">
        <v>3</v>
      </c>
      <c r="F341" s="43">
        <v>130</v>
      </c>
    </row>
    <row r="342" spans="3:6" x14ac:dyDescent="0.35">
      <c r="C342" t="s">
        <v>1260</v>
      </c>
      <c r="D342" t="s">
        <v>1261</v>
      </c>
      <c r="E342" s="40">
        <v>2</v>
      </c>
      <c r="F342" s="43">
        <v>140</v>
      </c>
    </row>
    <row r="343" spans="3:6" x14ac:dyDescent="0.35">
      <c r="C343" t="s">
        <v>1264</v>
      </c>
      <c r="D343" t="s">
        <v>1265</v>
      </c>
      <c r="E343" s="40">
        <v>2</v>
      </c>
      <c r="F343" s="43">
        <v>145</v>
      </c>
    </row>
    <row r="344" spans="3:6" x14ac:dyDescent="0.35">
      <c r="C344" t="s">
        <v>1266</v>
      </c>
      <c r="D344" t="s">
        <v>1267</v>
      </c>
      <c r="E344" s="40">
        <v>2</v>
      </c>
      <c r="F344" s="43">
        <v>145</v>
      </c>
    </row>
    <row r="345" spans="3:6" x14ac:dyDescent="0.35">
      <c r="C345" t="s">
        <v>1268</v>
      </c>
      <c r="D345" t="s">
        <v>1269</v>
      </c>
      <c r="E345" s="40">
        <v>2</v>
      </c>
      <c r="F345" s="43">
        <v>145</v>
      </c>
    </row>
    <row r="346" spans="3:6" x14ac:dyDescent="0.35">
      <c r="C346" t="s">
        <v>1270</v>
      </c>
      <c r="D346" t="s">
        <v>1271</v>
      </c>
      <c r="E346" s="40">
        <v>2</v>
      </c>
      <c r="F346" s="43">
        <v>140</v>
      </c>
    </row>
    <row r="347" spans="3:6" x14ac:dyDescent="0.35">
      <c r="C347" t="s">
        <v>1278</v>
      </c>
      <c r="D347" t="s">
        <v>1279</v>
      </c>
      <c r="E347" s="40">
        <v>3</v>
      </c>
      <c r="F347" s="43">
        <v>145</v>
      </c>
    </row>
    <row r="348" spans="3:6" x14ac:dyDescent="0.35">
      <c r="C348" t="s">
        <v>1282</v>
      </c>
      <c r="D348" t="s">
        <v>1283</v>
      </c>
      <c r="E348" s="40">
        <v>2</v>
      </c>
      <c r="F348" s="43">
        <v>120</v>
      </c>
    </row>
    <row r="349" spans="3:6" x14ac:dyDescent="0.35">
      <c r="C349" t="s">
        <v>1286</v>
      </c>
      <c r="D349" t="s">
        <v>1287</v>
      </c>
      <c r="E349" s="40">
        <v>3</v>
      </c>
      <c r="F349" s="43">
        <v>145</v>
      </c>
    </row>
    <row r="350" spans="3:6" x14ac:dyDescent="0.35">
      <c r="C350" t="s">
        <v>1288</v>
      </c>
      <c r="D350" t="s">
        <v>1289</v>
      </c>
      <c r="E350" s="40">
        <v>2</v>
      </c>
      <c r="F350" s="43">
        <v>145</v>
      </c>
    </row>
    <row r="351" spans="3:6" x14ac:dyDescent="0.35">
      <c r="C351" t="s">
        <v>1306</v>
      </c>
      <c r="D351" t="s">
        <v>1307</v>
      </c>
      <c r="E351" s="40">
        <v>2</v>
      </c>
      <c r="F351" s="43">
        <v>110</v>
      </c>
    </row>
    <row r="352" spans="3:6" x14ac:dyDescent="0.35">
      <c r="C352" t="s">
        <v>1312</v>
      </c>
      <c r="D352" t="s">
        <v>1313</v>
      </c>
      <c r="E352" s="40">
        <v>1</v>
      </c>
      <c r="F352" s="43">
        <v>140</v>
      </c>
    </row>
    <row r="353" spans="1:6" x14ac:dyDescent="0.35">
      <c r="A353" t="s">
        <v>1846</v>
      </c>
      <c r="B353" t="s">
        <v>1325</v>
      </c>
      <c r="C353" t="s">
        <v>1326</v>
      </c>
      <c r="D353" t="s">
        <v>1327</v>
      </c>
      <c r="E353" s="40">
        <v>3</v>
      </c>
      <c r="F353" s="43">
        <v>80</v>
      </c>
    </row>
    <row r="354" spans="1:6" x14ac:dyDescent="0.35">
      <c r="C354" t="s">
        <v>1328</v>
      </c>
      <c r="D354" t="s">
        <v>1329</v>
      </c>
      <c r="E354" s="40">
        <v>3</v>
      </c>
      <c r="F354" s="43">
        <v>150</v>
      </c>
    </row>
    <row r="355" spans="1:6" x14ac:dyDescent="0.35">
      <c r="C355" t="s">
        <v>1330</v>
      </c>
      <c r="D355" t="s">
        <v>1331</v>
      </c>
      <c r="E355" s="40">
        <v>4</v>
      </c>
      <c r="F355" s="43">
        <v>90</v>
      </c>
    </row>
    <row r="356" spans="1:6" x14ac:dyDescent="0.35">
      <c r="C356" t="s">
        <v>1332</v>
      </c>
      <c r="D356" t="s">
        <v>1333</v>
      </c>
      <c r="E356" s="40">
        <v>3</v>
      </c>
      <c r="F356" s="43">
        <v>160</v>
      </c>
    </row>
    <row r="357" spans="1:6" x14ac:dyDescent="0.35">
      <c r="C357" t="s">
        <v>1334</v>
      </c>
      <c r="D357" t="s">
        <v>1335</v>
      </c>
      <c r="E357" s="40">
        <v>3</v>
      </c>
      <c r="F357" s="43">
        <v>70</v>
      </c>
    </row>
    <row r="358" spans="1:6" x14ac:dyDescent="0.35">
      <c r="C358" t="s">
        <v>1336</v>
      </c>
      <c r="D358" t="s">
        <v>1337</v>
      </c>
      <c r="E358" s="40">
        <v>3</v>
      </c>
      <c r="F358" s="43">
        <v>120</v>
      </c>
    </row>
    <row r="359" spans="1:6" x14ac:dyDescent="0.35">
      <c r="C359" t="s">
        <v>1338</v>
      </c>
      <c r="D359" t="s">
        <v>1339</v>
      </c>
      <c r="E359" s="40">
        <v>3</v>
      </c>
      <c r="F359" s="43">
        <v>200</v>
      </c>
    </row>
    <row r="360" spans="1:6" x14ac:dyDescent="0.35">
      <c r="C360" t="s">
        <v>1342</v>
      </c>
      <c r="D360" t="s">
        <v>1343</v>
      </c>
      <c r="E360" s="40">
        <v>2</v>
      </c>
      <c r="F360" s="43">
        <v>130</v>
      </c>
    </row>
    <row r="361" spans="1:6" x14ac:dyDescent="0.35">
      <c r="C361" t="s">
        <v>1348</v>
      </c>
      <c r="D361" t="s">
        <v>1349</v>
      </c>
      <c r="E361" s="40">
        <v>2</v>
      </c>
      <c r="F361" s="43">
        <v>100</v>
      </c>
    </row>
    <row r="362" spans="1:6" x14ac:dyDescent="0.35">
      <c r="C362" t="s">
        <v>1354</v>
      </c>
      <c r="D362" t="s">
        <v>1355</v>
      </c>
      <c r="E362" s="40">
        <v>4</v>
      </c>
      <c r="F362" s="43">
        <v>400</v>
      </c>
    </row>
    <row r="363" spans="1:6" x14ac:dyDescent="0.35">
      <c r="C363" t="s">
        <v>1356</v>
      </c>
      <c r="D363" t="s">
        <v>1357</v>
      </c>
      <c r="E363" s="40">
        <v>3</v>
      </c>
      <c r="F363" s="43">
        <v>230</v>
      </c>
    </row>
    <row r="364" spans="1:6" x14ac:dyDescent="0.35">
      <c r="C364" t="s">
        <v>1358</v>
      </c>
      <c r="D364" t="s">
        <v>1359</v>
      </c>
      <c r="E364" s="40">
        <v>1</v>
      </c>
      <c r="F364" s="43">
        <v>130</v>
      </c>
    </row>
    <row r="365" spans="1:6" x14ac:dyDescent="0.35">
      <c r="C365" t="s">
        <v>1366</v>
      </c>
      <c r="D365" t="s">
        <v>1367</v>
      </c>
      <c r="E365" s="40">
        <v>2</v>
      </c>
      <c r="F365" s="43">
        <v>400</v>
      </c>
    </row>
    <row r="366" spans="1:6" x14ac:dyDescent="0.35">
      <c r="C366" s="41">
        <v>8964000020197</v>
      </c>
      <c r="D366" t="s">
        <v>1878</v>
      </c>
      <c r="E366" s="40">
        <v>1</v>
      </c>
      <c r="F366" s="43">
        <v>300</v>
      </c>
    </row>
    <row r="367" spans="1:6" x14ac:dyDescent="0.35">
      <c r="C367" s="41">
        <v>8964000020098</v>
      </c>
      <c r="D367" t="s">
        <v>1879</v>
      </c>
      <c r="E367" s="40">
        <v>1</v>
      </c>
      <c r="F367" s="43">
        <v>290</v>
      </c>
    </row>
    <row r="368" spans="1:6" x14ac:dyDescent="0.35">
      <c r="A368" t="s">
        <v>938</v>
      </c>
      <c r="B368" t="s">
        <v>1873</v>
      </c>
      <c r="C368" s="42">
        <v>8964003520275</v>
      </c>
      <c r="D368" t="s">
        <v>1873</v>
      </c>
      <c r="E368" s="40">
        <v>1</v>
      </c>
      <c r="F368" s="43">
        <v>180</v>
      </c>
    </row>
    <row r="369" spans="1:6" x14ac:dyDescent="0.35">
      <c r="B369" t="s">
        <v>1871</v>
      </c>
      <c r="C369">
        <v>8964003820282</v>
      </c>
      <c r="D369" t="s">
        <v>1872</v>
      </c>
      <c r="E369" s="40">
        <v>1</v>
      </c>
      <c r="F369" s="43">
        <v>180</v>
      </c>
    </row>
    <row r="370" spans="1:6" x14ac:dyDescent="0.35">
      <c r="A370" t="s">
        <v>1844</v>
      </c>
      <c r="B370" t="s">
        <v>1063</v>
      </c>
      <c r="C370" t="s">
        <v>1064</v>
      </c>
      <c r="D370" t="s">
        <v>280</v>
      </c>
      <c r="E370" s="40">
        <v>2</v>
      </c>
      <c r="F370" s="43">
        <v>140</v>
      </c>
    </row>
    <row r="371" spans="1:6" x14ac:dyDescent="0.35">
      <c r="C371" t="s">
        <v>1093</v>
      </c>
      <c r="D371" t="s">
        <v>1094</v>
      </c>
      <c r="E371" s="40">
        <v>2</v>
      </c>
      <c r="F371" s="43">
        <v>250</v>
      </c>
    </row>
    <row r="372" spans="1:6" x14ac:dyDescent="0.35">
      <c r="A372" t="s">
        <v>1834</v>
      </c>
      <c r="B372" t="s">
        <v>630</v>
      </c>
      <c r="C372" t="s">
        <v>633</v>
      </c>
      <c r="D372" t="s">
        <v>634</v>
      </c>
      <c r="E372" s="40">
        <v>8</v>
      </c>
      <c r="F372" s="43">
        <v>90</v>
      </c>
    </row>
    <row r="373" spans="1:6" x14ac:dyDescent="0.35">
      <c r="C373" t="s">
        <v>637</v>
      </c>
      <c r="D373" t="s">
        <v>638</v>
      </c>
      <c r="E373" s="40">
        <v>3</v>
      </c>
      <c r="F373" s="43">
        <v>270</v>
      </c>
    </row>
    <row r="374" spans="1:6" x14ac:dyDescent="0.35">
      <c r="C374" t="s">
        <v>639</v>
      </c>
      <c r="D374" t="s">
        <v>640</v>
      </c>
      <c r="E374" s="40">
        <v>4</v>
      </c>
      <c r="F374" s="43">
        <v>135</v>
      </c>
    </row>
    <row r="375" spans="1:6" x14ac:dyDescent="0.35">
      <c r="B375" t="s">
        <v>641</v>
      </c>
      <c r="C375" t="s">
        <v>642</v>
      </c>
      <c r="D375" t="s">
        <v>643</v>
      </c>
      <c r="E375" s="40">
        <v>18</v>
      </c>
      <c r="F375" s="43">
        <v>150</v>
      </c>
    </row>
    <row r="376" spans="1:6" x14ac:dyDescent="0.35">
      <c r="C376" t="s">
        <v>644</v>
      </c>
      <c r="D376" t="s">
        <v>645</v>
      </c>
      <c r="E376" s="40">
        <v>22</v>
      </c>
      <c r="F376" s="43">
        <v>80</v>
      </c>
    </row>
    <row r="377" spans="1:6" x14ac:dyDescent="0.35">
      <c r="C377" t="s">
        <v>648</v>
      </c>
      <c r="D377" t="s">
        <v>649</v>
      </c>
      <c r="E377" s="40">
        <v>1</v>
      </c>
      <c r="F377" s="43">
        <v>550</v>
      </c>
    </row>
    <row r="378" spans="1:6" x14ac:dyDescent="0.35">
      <c r="A378" t="s">
        <v>1858</v>
      </c>
      <c r="B378" t="s">
        <v>1756</v>
      </c>
      <c r="C378" t="s">
        <v>1765</v>
      </c>
      <c r="D378" t="s">
        <v>1766</v>
      </c>
      <c r="E378" s="40">
        <v>3</v>
      </c>
      <c r="F378" s="43">
        <v>190</v>
      </c>
    </row>
    <row r="379" spans="1:6" x14ac:dyDescent="0.35">
      <c r="C379" t="s">
        <v>1773</v>
      </c>
      <c r="D379" t="s">
        <v>1774</v>
      </c>
      <c r="E379" s="40">
        <v>9</v>
      </c>
      <c r="F379" s="43">
        <v>50</v>
      </c>
    </row>
    <row r="380" spans="1:6" x14ac:dyDescent="0.35">
      <c r="C380" t="s">
        <v>1775</v>
      </c>
      <c r="D380" t="s">
        <v>1776</v>
      </c>
      <c r="E380" s="40">
        <v>7</v>
      </c>
      <c r="F380" s="43">
        <v>30</v>
      </c>
    </row>
    <row r="381" spans="1:6" x14ac:dyDescent="0.35">
      <c r="C381" t="s">
        <v>1777</v>
      </c>
      <c r="D381" t="s">
        <v>1778</v>
      </c>
      <c r="E381" s="40">
        <v>9</v>
      </c>
      <c r="F381" s="43">
        <v>99</v>
      </c>
    </row>
    <row r="382" spans="1:6" x14ac:dyDescent="0.35">
      <c r="C382" t="s">
        <v>1785</v>
      </c>
      <c r="D382" t="s">
        <v>1786</v>
      </c>
      <c r="E382" s="40">
        <v>1</v>
      </c>
      <c r="F382" s="43">
        <v>700</v>
      </c>
    </row>
    <row r="383" spans="1:6" x14ac:dyDescent="0.35">
      <c r="C383" t="s">
        <v>1796</v>
      </c>
      <c r="D383" t="s">
        <v>1768</v>
      </c>
      <c r="E383" s="40">
        <v>2</v>
      </c>
      <c r="F383" s="43">
        <v>370</v>
      </c>
    </row>
    <row r="384" spans="1:6" x14ac:dyDescent="0.35">
      <c r="C384" t="s">
        <v>1799</v>
      </c>
      <c r="D384" t="s">
        <v>1800</v>
      </c>
      <c r="E384" s="40">
        <v>2</v>
      </c>
      <c r="F384" s="43">
        <v>250</v>
      </c>
    </row>
    <row r="385" spans="1:6" x14ac:dyDescent="0.35">
      <c r="C385" t="s">
        <v>1807</v>
      </c>
      <c r="D385" t="s">
        <v>1808</v>
      </c>
      <c r="E385" s="40">
        <v>19</v>
      </c>
      <c r="F385" s="43">
        <v>820</v>
      </c>
    </row>
    <row r="386" spans="1:6" x14ac:dyDescent="0.35">
      <c r="A386" t="s">
        <v>297</v>
      </c>
      <c r="B386" t="s">
        <v>312</v>
      </c>
      <c r="C386" t="s">
        <v>313</v>
      </c>
      <c r="D386" t="s">
        <v>314</v>
      </c>
      <c r="E386" s="40">
        <v>8</v>
      </c>
      <c r="F386" s="43">
        <v>60</v>
      </c>
    </row>
    <row r="387" spans="1:6" x14ac:dyDescent="0.35">
      <c r="B387" t="s">
        <v>328</v>
      </c>
      <c r="C387" t="s">
        <v>335</v>
      </c>
      <c r="D387" t="s">
        <v>336</v>
      </c>
      <c r="E387" s="40">
        <v>4</v>
      </c>
      <c r="F387" s="43">
        <v>100</v>
      </c>
    </row>
    <row r="388" spans="1:6" x14ac:dyDescent="0.35">
      <c r="A388" t="s">
        <v>509</v>
      </c>
      <c r="B388" t="s">
        <v>510</v>
      </c>
      <c r="C388" t="s">
        <v>511</v>
      </c>
      <c r="D388" t="s">
        <v>512</v>
      </c>
      <c r="E388" s="40">
        <v>1</v>
      </c>
      <c r="F388" s="43">
        <v>50</v>
      </c>
    </row>
    <row r="389" spans="1:6" x14ac:dyDescent="0.35">
      <c r="C389" t="s">
        <v>517</v>
      </c>
      <c r="D389" t="s">
        <v>518</v>
      </c>
      <c r="E389" s="40">
        <v>20</v>
      </c>
      <c r="F389" s="43">
        <v>60</v>
      </c>
    </row>
    <row r="390" spans="1:6" x14ac:dyDescent="0.35">
      <c r="C390" t="s">
        <v>519</v>
      </c>
      <c r="D390" t="s">
        <v>520</v>
      </c>
      <c r="E390" s="40">
        <v>2</v>
      </c>
      <c r="F390" s="43">
        <v>90</v>
      </c>
    </row>
    <row r="391" spans="1:6" x14ac:dyDescent="0.35">
      <c r="C391" t="s">
        <v>523</v>
      </c>
      <c r="D391" t="s">
        <v>524</v>
      </c>
      <c r="E391" s="40">
        <v>1</v>
      </c>
      <c r="F391" s="43">
        <v>150</v>
      </c>
    </row>
    <row r="392" spans="1:6" x14ac:dyDescent="0.35">
      <c r="C392" t="s">
        <v>525</v>
      </c>
      <c r="D392" t="s">
        <v>526</v>
      </c>
      <c r="E392" s="40">
        <v>5</v>
      </c>
      <c r="F392" s="43">
        <v>120</v>
      </c>
    </row>
    <row r="393" spans="1:6" x14ac:dyDescent="0.35">
      <c r="C393" t="s">
        <v>527</v>
      </c>
      <c r="D393" t="s">
        <v>528</v>
      </c>
      <c r="E393" s="40">
        <v>1</v>
      </c>
      <c r="F393" s="43">
        <v>450</v>
      </c>
    </row>
    <row r="394" spans="1:6" x14ac:dyDescent="0.35">
      <c r="A394" t="s">
        <v>1826</v>
      </c>
      <c r="B394" t="s">
        <v>793</v>
      </c>
      <c r="C394" t="s">
        <v>796</v>
      </c>
      <c r="D394" t="s">
        <v>797</v>
      </c>
      <c r="E394" s="40">
        <v>3</v>
      </c>
      <c r="F394" s="43">
        <v>50</v>
      </c>
    </row>
    <row r="395" spans="1:6" x14ac:dyDescent="0.35">
      <c r="C395" t="s">
        <v>798</v>
      </c>
      <c r="D395" t="s">
        <v>799</v>
      </c>
      <c r="E395" s="40">
        <v>2</v>
      </c>
      <c r="F395" s="43">
        <v>50</v>
      </c>
    </row>
    <row r="396" spans="1:6" x14ac:dyDescent="0.35">
      <c r="B396" t="s">
        <v>1490</v>
      </c>
      <c r="C396" t="s">
        <v>1493</v>
      </c>
      <c r="D396" t="s">
        <v>1494</v>
      </c>
      <c r="E396" s="40">
        <v>1</v>
      </c>
      <c r="F396" s="43">
        <v>500</v>
      </c>
    </row>
    <row r="397" spans="1:6" x14ac:dyDescent="0.35">
      <c r="C397" t="s">
        <v>1499</v>
      </c>
      <c r="D397" t="s">
        <v>1500</v>
      </c>
      <c r="E397" s="40">
        <v>1</v>
      </c>
      <c r="F397" s="43">
        <v>850</v>
      </c>
    </row>
    <row r="398" spans="1:6" x14ac:dyDescent="0.35">
      <c r="C398" t="s">
        <v>1501</v>
      </c>
      <c r="D398" t="s">
        <v>1502</v>
      </c>
      <c r="E398" s="40">
        <v>1</v>
      </c>
      <c r="F398" s="43">
        <v>520</v>
      </c>
    </row>
    <row r="399" spans="1:6" x14ac:dyDescent="0.35">
      <c r="B399" t="s">
        <v>777</v>
      </c>
      <c r="C399" t="s">
        <v>778</v>
      </c>
      <c r="D399" t="s">
        <v>779</v>
      </c>
      <c r="E399" s="40">
        <v>1</v>
      </c>
      <c r="F399" s="43">
        <v>250</v>
      </c>
    </row>
    <row r="400" spans="1:6" x14ac:dyDescent="0.35">
      <c r="C400" s="42">
        <v>8961014034806</v>
      </c>
      <c r="D400" t="s">
        <v>1882</v>
      </c>
      <c r="E400" s="40">
        <v>1</v>
      </c>
      <c r="F400" s="43">
        <v>125</v>
      </c>
    </row>
    <row r="401" spans="2:6" x14ac:dyDescent="0.35">
      <c r="B401" t="s">
        <v>918</v>
      </c>
      <c r="C401" t="s">
        <v>923</v>
      </c>
      <c r="D401" t="s">
        <v>924</v>
      </c>
      <c r="E401" s="40">
        <v>5</v>
      </c>
      <c r="F401" s="43">
        <v>30</v>
      </c>
    </row>
    <row r="402" spans="2:6" x14ac:dyDescent="0.35">
      <c r="B402" t="s">
        <v>1443</v>
      </c>
      <c r="C402" t="s">
        <v>1445</v>
      </c>
      <c r="D402" t="s">
        <v>1446</v>
      </c>
      <c r="E402" s="40">
        <v>15</v>
      </c>
      <c r="F402" s="43">
        <v>10</v>
      </c>
    </row>
    <row r="403" spans="2:6" x14ac:dyDescent="0.35">
      <c r="C403" t="s">
        <v>1447</v>
      </c>
      <c r="D403" t="s">
        <v>1448</v>
      </c>
      <c r="E403" s="40">
        <v>11</v>
      </c>
      <c r="F403" s="43">
        <v>10</v>
      </c>
    </row>
    <row r="404" spans="2:6" x14ac:dyDescent="0.35">
      <c r="C404" t="s">
        <v>1450</v>
      </c>
      <c r="D404" t="s">
        <v>1451</v>
      </c>
      <c r="E404" s="40">
        <v>3</v>
      </c>
      <c r="F404" s="43">
        <v>340</v>
      </c>
    </row>
    <row r="405" spans="2:6" x14ac:dyDescent="0.35">
      <c r="C405" t="s">
        <v>1452</v>
      </c>
      <c r="D405" t="s">
        <v>1453</v>
      </c>
      <c r="E405" s="40">
        <v>1</v>
      </c>
      <c r="F405" s="43">
        <v>650</v>
      </c>
    </row>
    <row r="406" spans="2:6" x14ac:dyDescent="0.35">
      <c r="C406" s="42">
        <v>8961014266153</v>
      </c>
      <c r="D406" t="s">
        <v>1880</v>
      </c>
      <c r="E406" s="40">
        <v>1</v>
      </c>
      <c r="F406" s="43">
        <v>1120</v>
      </c>
    </row>
    <row r="407" spans="2:6" x14ac:dyDescent="0.35">
      <c r="C407" s="42">
        <v>8961014266931</v>
      </c>
      <c r="D407" t="s">
        <v>1881</v>
      </c>
      <c r="E407" s="40">
        <v>1</v>
      </c>
      <c r="F407" s="43">
        <v>360</v>
      </c>
    </row>
    <row r="408" spans="2:6" x14ac:dyDescent="0.35">
      <c r="B408" t="s">
        <v>530</v>
      </c>
      <c r="C408" t="s">
        <v>531</v>
      </c>
      <c r="D408" t="s">
        <v>532</v>
      </c>
      <c r="E408" s="40">
        <v>2</v>
      </c>
      <c r="F408" s="43">
        <v>280</v>
      </c>
    </row>
    <row r="409" spans="2:6" x14ac:dyDescent="0.35">
      <c r="C409" t="s">
        <v>533</v>
      </c>
      <c r="D409" t="s">
        <v>534</v>
      </c>
      <c r="E409" s="40">
        <v>1</v>
      </c>
      <c r="F409" s="43">
        <v>125</v>
      </c>
    </row>
    <row r="410" spans="2:6" x14ac:dyDescent="0.35">
      <c r="C410" s="42">
        <v>8961014263732</v>
      </c>
      <c r="D410" t="s">
        <v>1886</v>
      </c>
      <c r="E410" s="40">
        <v>3</v>
      </c>
      <c r="F410" s="43">
        <v>70</v>
      </c>
    </row>
    <row r="411" spans="2:6" x14ac:dyDescent="0.35">
      <c r="B411" t="s">
        <v>569</v>
      </c>
      <c r="C411" t="s">
        <v>572</v>
      </c>
      <c r="D411" t="s">
        <v>573</v>
      </c>
      <c r="E411" s="40">
        <v>2</v>
      </c>
      <c r="F411" s="43">
        <v>70</v>
      </c>
    </row>
    <row r="412" spans="2:6" x14ac:dyDescent="0.35">
      <c r="C412" t="s">
        <v>578</v>
      </c>
      <c r="D412" t="s">
        <v>579</v>
      </c>
      <c r="E412" s="40">
        <v>3</v>
      </c>
      <c r="F412" s="43">
        <v>175</v>
      </c>
    </row>
    <row r="413" spans="2:6" x14ac:dyDescent="0.35">
      <c r="C413" t="s">
        <v>583</v>
      </c>
      <c r="D413" t="s">
        <v>584</v>
      </c>
      <c r="E413" s="40">
        <v>1</v>
      </c>
      <c r="F413" s="43">
        <v>150</v>
      </c>
    </row>
    <row r="414" spans="2:6" x14ac:dyDescent="0.35">
      <c r="C414" t="s">
        <v>585</v>
      </c>
      <c r="D414" t="s">
        <v>586</v>
      </c>
      <c r="E414" s="40">
        <v>2</v>
      </c>
      <c r="F414" s="43">
        <v>150</v>
      </c>
    </row>
    <row r="415" spans="2:6" x14ac:dyDescent="0.35">
      <c r="C415" t="s">
        <v>587</v>
      </c>
      <c r="D415" t="s">
        <v>580</v>
      </c>
      <c r="E415" s="40">
        <v>1</v>
      </c>
      <c r="F415" s="43">
        <v>175</v>
      </c>
    </row>
    <row r="416" spans="2:6" x14ac:dyDescent="0.35">
      <c r="C416" t="s">
        <v>588</v>
      </c>
      <c r="D416" t="s">
        <v>589</v>
      </c>
      <c r="E416" s="40">
        <v>1</v>
      </c>
      <c r="F416" s="43">
        <v>420</v>
      </c>
    </row>
    <row r="417" spans="2:6" x14ac:dyDescent="0.35">
      <c r="C417" s="42">
        <v>8961014255126</v>
      </c>
      <c r="D417" t="s">
        <v>1887</v>
      </c>
      <c r="E417" s="40">
        <v>1</v>
      </c>
      <c r="F417" s="43">
        <v>125</v>
      </c>
    </row>
    <row r="418" spans="2:6" x14ac:dyDescent="0.35">
      <c r="B418" t="s">
        <v>706</v>
      </c>
      <c r="C418" t="s">
        <v>717</v>
      </c>
      <c r="D418" t="s">
        <v>718</v>
      </c>
      <c r="E418" s="40">
        <v>1</v>
      </c>
      <c r="F418" s="43">
        <v>190</v>
      </c>
    </row>
    <row r="419" spans="2:6" x14ac:dyDescent="0.35">
      <c r="C419" t="s">
        <v>721</v>
      </c>
      <c r="D419" t="s">
        <v>722</v>
      </c>
      <c r="E419" s="40">
        <v>7</v>
      </c>
      <c r="F419" s="43">
        <v>50</v>
      </c>
    </row>
    <row r="420" spans="2:6" x14ac:dyDescent="0.35">
      <c r="C420" t="s">
        <v>725</v>
      </c>
      <c r="D420" t="s">
        <v>726</v>
      </c>
      <c r="E420" s="40">
        <v>11</v>
      </c>
      <c r="F420" s="43">
        <v>35</v>
      </c>
    </row>
    <row r="421" spans="2:6" x14ac:dyDescent="0.35">
      <c r="B421" t="s">
        <v>1828</v>
      </c>
      <c r="C421" t="s">
        <v>463</v>
      </c>
      <c r="D421" t="s">
        <v>464</v>
      </c>
      <c r="E421" s="40">
        <v>1</v>
      </c>
      <c r="F421" s="43">
        <v>195</v>
      </c>
    </row>
    <row r="422" spans="2:6" x14ac:dyDescent="0.35">
      <c r="B422" t="s">
        <v>421</v>
      </c>
      <c r="C422" t="s">
        <v>422</v>
      </c>
      <c r="D422" t="s">
        <v>423</v>
      </c>
      <c r="E422" s="40">
        <v>4</v>
      </c>
      <c r="F422" s="43">
        <v>10</v>
      </c>
    </row>
    <row r="423" spans="2:6" x14ac:dyDescent="0.35">
      <c r="C423" t="s">
        <v>425</v>
      </c>
      <c r="D423" t="s">
        <v>424</v>
      </c>
      <c r="E423" s="40">
        <v>5</v>
      </c>
      <c r="F423" s="43">
        <v>270</v>
      </c>
    </row>
    <row r="424" spans="2:6" x14ac:dyDescent="0.35">
      <c r="C424" t="s">
        <v>428</v>
      </c>
      <c r="D424" t="s">
        <v>429</v>
      </c>
      <c r="E424" s="40">
        <v>8</v>
      </c>
      <c r="F424" s="43">
        <v>50</v>
      </c>
    </row>
    <row r="425" spans="2:6" x14ac:dyDescent="0.35">
      <c r="C425" t="s">
        <v>430</v>
      </c>
      <c r="D425" t="s">
        <v>431</v>
      </c>
      <c r="E425" s="40">
        <v>3</v>
      </c>
      <c r="F425" s="43">
        <v>100</v>
      </c>
    </row>
    <row r="426" spans="2:6" x14ac:dyDescent="0.35">
      <c r="B426" t="s">
        <v>1558</v>
      </c>
      <c r="C426" t="s">
        <v>1569</v>
      </c>
      <c r="D426" t="s">
        <v>1570</v>
      </c>
      <c r="E426" s="40">
        <v>1</v>
      </c>
      <c r="F426" s="43">
        <v>730</v>
      </c>
    </row>
    <row r="427" spans="2:6" x14ac:dyDescent="0.35">
      <c r="C427" t="s">
        <v>1571</v>
      </c>
      <c r="D427" t="s">
        <v>1877</v>
      </c>
      <c r="E427" s="40">
        <v>2</v>
      </c>
      <c r="F427" s="43">
        <v>440</v>
      </c>
    </row>
    <row r="428" spans="2:6" x14ac:dyDescent="0.35">
      <c r="C428" t="s">
        <v>1575</v>
      </c>
      <c r="D428" t="s">
        <v>1576</v>
      </c>
      <c r="E428" s="40">
        <v>1</v>
      </c>
      <c r="F428" s="43">
        <v>470</v>
      </c>
    </row>
    <row r="429" spans="2:6" x14ac:dyDescent="0.35">
      <c r="C429" t="s">
        <v>1577</v>
      </c>
      <c r="D429" t="s">
        <v>1578</v>
      </c>
      <c r="E429" s="40">
        <v>2</v>
      </c>
      <c r="F429" s="43">
        <v>1250</v>
      </c>
    </row>
    <row r="430" spans="2:6" x14ac:dyDescent="0.35">
      <c r="B430" t="s">
        <v>442</v>
      </c>
      <c r="C430" t="s">
        <v>447</v>
      </c>
      <c r="D430" t="s">
        <v>448</v>
      </c>
      <c r="E430" s="40">
        <v>2</v>
      </c>
      <c r="F430" s="43">
        <v>390</v>
      </c>
    </row>
    <row r="431" spans="2:6" x14ac:dyDescent="0.35">
      <c r="C431" t="s">
        <v>449</v>
      </c>
      <c r="D431" t="s">
        <v>446</v>
      </c>
      <c r="E431" s="40">
        <v>8</v>
      </c>
      <c r="F431" s="43">
        <v>10</v>
      </c>
    </row>
    <row r="432" spans="2:6" x14ac:dyDescent="0.35">
      <c r="C432" t="s">
        <v>450</v>
      </c>
      <c r="D432" t="s">
        <v>445</v>
      </c>
      <c r="E432" s="40">
        <v>5</v>
      </c>
      <c r="F432" s="43">
        <v>50</v>
      </c>
    </row>
    <row r="433" spans="1:6" x14ac:dyDescent="0.35">
      <c r="C433" t="s">
        <v>451</v>
      </c>
      <c r="D433" t="s">
        <v>452</v>
      </c>
      <c r="E433" s="40">
        <v>4</v>
      </c>
      <c r="F433" s="43">
        <v>1000</v>
      </c>
    </row>
    <row r="434" spans="1:6" x14ac:dyDescent="0.35">
      <c r="C434" t="s">
        <v>459</v>
      </c>
      <c r="D434" t="s">
        <v>460</v>
      </c>
      <c r="E434" s="40">
        <v>2</v>
      </c>
      <c r="F434" s="43">
        <v>540</v>
      </c>
    </row>
    <row r="435" spans="1:6" x14ac:dyDescent="0.35">
      <c r="B435" t="s">
        <v>1634</v>
      </c>
      <c r="C435" t="s">
        <v>1626</v>
      </c>
      <c r="D435" t="s">
        <v>1627</v>
      </c>
      <c r="E435" s="40">
        <v>2</v>
      </c>
      <c r="F435" s="43">
        <v>75</v>
      </c>
    </row>
    <row r="436" spans="1:6" x14ac:dyDescent="0.35">
      <c r="C436" t="s">
        <v>1628</v>
      </c>
      <c r="D436" t="s">
        <v>1629</v>
      </c>
      <c r="E436" s="40">
        <v>1</v>
      </c>
      <c r="F436" s="43">
        <v>150</v>
      </c>
    </row>
    <row r="437" spans="1:6" x14ac:dyDescent="0.35">
      <c r="A437" t="s">
        <v>1741</v>
      </c>
      <c r="B437" t="s">
        <v>1741</v>
      </c>
      <c r="C437" t="s">
        <v>1742</v>
      </c>
      <c r="D437" t="s">
        <v>1743</v>
      </c>
      <c r="E437" s="40">
        <v>1</v>
      </c>
      <c r="F437" s="43">
        <v>1700</v>
      </c>
    </row>
    <row r="438" spans="1:6" x14ac:dyDescent="0.35">
      <c r="A438" t="s">
        <v>843</v>
      </c>
      <c r="B438" t="s">
        <v>843</v>
      </c>
      <c r="C438" t="s">
        <v>845</v>
      </c>
      <c r="D438" t="s">
        <v>846</v>
      </c>
      <c r="E438" s="40">
        <v>8</v>
      </c>
      <c r="F438" s="43">
        <v>50</v>
      </c>
    </row>
    <row r="439" spans="1:6" x14ac:dyDescent="0.35">
      <c r="A439" t="s">
        <v>626</v>
      </c>
      <c r="B439" t="s">
        <v>626</v>
      </c>
      <c r="C439" t="s">
        <v>858</v>
      </c>
      <c r="D439" t="s">
        <v>859</v>
      </c>
      <c r="E439" s="40">
        <v>1</v>
      </c>
      <c r="F439" s="43">
        <v>120</v>
      </c>
    </row>
    <row r="440" spans="1:6" x14ac:dyDescent="0.35">
      <c r="C440" t="s">
        <v>860</v>
      </c>
      <c r="D440" t="s">
        <v>861</v>
      </c>
      <c r="E440" s="40">
        <v>4</v>
      </c>
      <c r="F440" s="43">
        <v>180</v>
      </c>
    </row>
    <row r="441" spans="1:6" x14ac:dyDescent="0.35">
      <c r="C441" t="s">
        <v>862</v>
      </c>
      <c r="D441" t="s">
        <v>863</v>
      </c>
      <c r="E441" s="40">
        <v>3</v>
      </c>
      <c r="F441" s="43">
        <v>360</v>
      </c>
    </row>
    <row r="442" spans="1:6" x14ac:dyDescent="0.35">
      <c r="C442" t="s">
        <v>868</v>
      </c>
      <c r="D442" t="s">
        <v>869</v>
      </c>
      <c r="E442" s="40">
        <v>9</v>
      </c>
      <c r="F442" s="43">
        <v>50</v>
      </c>
    </row>
    <row r="443" spans="1:6" x14ac:dyDescent="0.35">
      <c r="A443" s="17" t="s">
        <v>1876</v>
      </c>
      <c r="B443" s="17"/>
      <c r="C443" s="17"/>
      <c r="D443" s="17"/>
      <c r="E443" s="40">
        <v>2637</v>
      </c>
      <c r="F443" s="43">
        <v>92764.33</v>
      </c>
    </row>
  </sheetData>
  <pageMargins left="0.7" right="0.7" top="0.75" bottom="0.75" header="0.3" footer="0.3"/>
  <pageSetup paperSize="0" orientation="portrait" horizontalDpi="180" verticalDpi="180"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M465"/>
  <sheetViews>
    <sheetView showGridLines="0" workbookViewId="0">
      <selection activeCell="K183" sqref="K183"/>
    </sheetView>
  </sheetViews>
  <sheetFormatPr defaultColWidth="9.1796875" defaultRowHeight="14.5" x14ac:dyDescent="0.35"/>
  <cols>
    <col min="1" max="1" width="13.54296875" customWidth="1"/>
    <col min="2" max="2" width="23.1796875" bestFit="1" customWidth="1"/>
    <col min="3" max="3" width="19.1796875" bestFit="1" customWidth="1"/>
    <col min="4" max="4" width="14.453125" bestFit="1" customWidth="1"/>
    <col min="5" max="5" width="33.7265625" customWidth="1"/>
    <col min="6" max="6" width="8.453125" customWidth="1"/>
    <col min="7" max="7" width="6" customWidth="1"/>
    <col min="8" max="8" width="9.26953125" customWidth="1"/>
    <col min="9" max="9" width="6.7265625" customWidth="1"/>
    <col min="10" max="10" width="10" customWidth="1"/>
    <col min="11" max="12" width="11.7265625" bestFit="1" customWidth="1"/>
    <col min="13" max="13" width="10.1796875" bestFit="1" customWidth="1"/>
  </cols>
  <sheetData>
    <row r="1" spans="1:13" ht="2.65" customHeight="1" x14ac:dyDescent="0.35"/>
    <row r="2" spans="1:13" x14ac:dyDescent="0.35">
      <c r="C2" s="37"/>
      <c r="D2" s="37"/>
      <c r="E2" s="37"/>
    </row>
    <row r="3" spans="1:13" x14ac:dyDescent="0.35">
      <c r="C3" s="37"/>
      <c r="D3" s="37"/>
      <c r="E3" s="37"/>
      <c r="K3" s="37"/>
      <c r="L3" s="37"/>
    </row>
    <row r="4" spans="1:13" x14ac:dyDescent="0.35">
      <c r="C4" s="37"/>
      <c r="D4" s="37"/>
      <c r="E4" s="37"/>
    </row>
    <row r="5" spans="1:13" ht="4" customHeight="1" x14ac:dyDescent="0.35"/>
    <row r="6" spans="1:13" x14ac:dyDescent="0.35">
      <c r="G6" s="38" t="s">
        <v>0</v>
      </c>
      <c r="H6" s="38" t="s">
        <v>1</v>
      </c>
      <c r="I6" s="37"/>
    </row>
    <row r="7" spans="1:13" x14ac:dyDescent="0.35">
      <c r="C7" s="37"/>
      <c r="D7" s="37"/>
      <c r="E7" s="37"/>
      <c r="G7" s="39"/>
      <c r="H7" s="39"/>
      <c r="I7" s="37"/>
    </row>
    <row r="8" spans="1:13" x14ac:dyDescent="0.35">
      <c r="G8" s="39"/>
      <c r="H8" s="39"/>
      <c r="I8" s="37"/>
    </row>
    <row r="9" spans="1:13" x14ac:dyDescent="0.35">
      <c r="H9" s="39"/>
      <c r="I9" s="37"/>
    </row>
    <row r="10" spans="1:13" ht="2.15" customHeight="1" x14ac:dyDescent="0.35"/>
    <row r="11" spans="1:13" ht="25.5" customHeight="1" x14ac:dyDescent="0.35">
      <c r="A11" s="18" t="s">
        <v>2</v>
      </c>
      <c r="B11" s="18" t="s">
        <v>3</v>
      </c>
      <c r="C11" s="18" t="s">
        <v>4</v>
      </c>
      <c r="D11" s="18" t="s">
        <v>5</v>
      </c>
      <c r="E11" s="18" t="s">
        <v>6</v>
      </c>
      <c r="F11" s="19" t="s">
        <v>7</v>
      </c>
      <c r="G11" s="19" t="s">
        <v>1823</v>
      </c>
      <c r="H11" s="19" t="s">
        <v>1825</v>
      </c>
      <c r="I11" s="19" t="s">
        <v>1824</v>
      </c>
      <c r="J11" s="19" t="s">
        <v>8</v>
      </c>
      <c r="K11" s="19" t="s">
        <v>9</v>
      </c>
      <c r="L11" s="19" t="s">
        <v>10</v>
      </c>
      <c r="M11" s="20" t="s">
        <v>1875</v>
      </c>
    </row>
    <row r="12" spans="1:13" hidden="1" x14ac:dyDescent="0.35">
      <c r="A12" s="21" t="s">
        <v>12</v>
      </c>
      <c r="B12" s="21" t="s">
        <v>13</v>
      </c>
      <c r="C12" s="21" t="s">
        <v>108</v>
      </c>
      <c r="D12" s="34" t="s">
        <v>192</v>
      </c>
      <c r="E12" s="22" t="s">
        <v>193</v>
      </c>
      <c r="F12" s="23">
        <v>0.5</v>
      </c>
      <c r="G12" s="24">
        <v>6</v>
      </c>
      <c r="H12" s="25">
        <v>115</v>
      </c>
      <c r="I12" s="25">
        <v>140</v>
      </c>
      <c r="J12" s="25">
        <v>140</v>
      </c>
      <c r="K12" s="25">
        <f t="shared" ref="K12:K49" si="0">H12*G12</f>
        <v>690</v>
      </c>
      <c r="L12" s="25">
        <f t="shared" ref="L12:L49" si="1">I12*G12</f>
        <v>840</v>
      </c>
      <c r="M12" s="14">
        <f t="shared" ref="M12:M49" si="2">J12*G12</f>
        <v>840</v>
      </c>
    </row>
    <row r="13" spans="1:13" ht="15" hidden="1" customHeight="1" x14ac:dyDescent="0.35">
      <c r="A13" s="21" t="s">
        <v>12</v>
      </c>
      <c r="B13" s="21" t="s">
        <v>13</v>
      </c>
      <c r="C13" s="21" t="s">
        <v>79</v>
      </c>
      <c r="D13" s="34" t="s">
        <v>90</v>
      </c>
      <c r="E13" s="22" t="s">
        <v>91</v>
      </c>
      <c r="F13" s="23">
        <v>1</v>
      </c>
      <c r="G13" s="24">
        <v>2</v>
      </c>
      <c r="H13" s="25">
        <v>350</v>
      </c>
      <c r="I13" s="25">
        <v>354</v>
      </c>
      <c r="J13" s="25">
        <v>400</v>
      </c>
      <c r="K13" s="25">
        <f t="shared" si="0"/>
        <v>700</v>
      </c>
      <c r="L13" s="25">
        <f t="shared" si="1"/>
        <v>708</v>
      </c>
      <c r="M13" s="14">
        <f t="shared" si="2"/>
        <v>800</v>
      </c>
    </row>
    <row r="14" spans="1:13" hidden="1" x14ac:dyDescent="0.35">
      <c r="A14" s="21" t="s">
        <v>12</v>
      </c>
      <c r="B14" s="21" t="s">
        <v>13</v>
      </c>
      <c r="C14" s="21" t="s">
        <v>79</v>
      </c>
      <c r="D14" s="34" t="s">
        <v>92</v>
      </c>
      <c r="E14" s="22" t="s">
        <v>93</v>
      </c>
      <c r="F14" s="23">
        <v>1</v>
      </c>
      <c r="G14" s="24">
        <v>2</v>
      </c>
      <c r="H14" s="25">
        <v>285</v>
      </c>
      <c r="I14" s="25">
        <v>205</v>
      </c>
      <c r="J14" s="25">
        <v>260</v>
      </c>
      <c r="K14" s="25">
        <f t="shared" si="0"/>
        <v>570</v>
      </c>
      <c r="L14" s="25">
        <f t="shared" si="1"/>
        <v>410</v>
      </c>
      <c r="M14" s="14">
        <f t="shared" si="2"/>
        <v>520</v>
      </c>
    </row>
    <row r="15" spans="1:13" hidden="1" x14ac:dyDescent="0.35">
      <c r="A15" s="21" t="s">
        <v>12</v>
      </c>
      <c r="B15" s="21" t="s">
        <v>13</v>
      </c>
      <c r="C15" s="21" t="s">
        <v>79</v>
      </c>
      <c r="D15" s="34" t="s">
        <v>94</v>
      </c>
      <c r="E15" s="22" t="s">
        <v>95</v>
      </c>
      <c r="F15" s="23">
        <v>1</v>
      </c>
      <c r="G15" s="24">
        <v>1</v>
      </c>
      <c r="H15" s="25">
        <v>180</v>
      </c>
      <c r="I15" s="25">
        <v>194</v>
      </c>
      <c r="J15" s="25">
        <v>240</v>
      </c>
      <c r="K15" s="25">
        <f t="shared" si="0"/>
        <v>180</v>
      </c>
      <c r="L15" s="25">
        <f t="shared" si="1"/>
        <v>194</v>
      </c>
      <c r="M15" s="14">
        <f t="shared" si="2"/>
        <v>240</v>
      </c>
    </row>
    <row r="16" spans="1:13" hidden="1" x14ac:dyDescent="0.35">
      <c r="A16" s="21" t="s">
        <v>12</v>
      </c>
      <c r="B16" s="21" t="s">
        <v>13</v>
      </c>
      <c r="C16" s="21" t="s">
        <v>79</v>
      </c>
      <c r="D16" s="34" t="s">
        <v>96</v>
      </c>
      <c r="E16" s="22" t="s">
        <v>97</v>
      </c>
      <c r="F16" s="23">
        <v>1</v>
      </c>
      <c r="G16" s="24">
        <v>1</v>
      </c>
      <c r="H16" s="25">
        <v>195</v>
      </c>
      <c r="I16" s="25">
        <v>208</v>
      </c>
      <c r="J16" s="25">
        <v>210</v>
      </c>
      <c r="K16" s="25">
        <f t="shared" si="0"/>
        <v>195</v>
      </c>
      <c r="L16" s="25">
        <f t="shared" si="1"/>
        <v>208</v>
      </c>
      <c r="M16" s="14">
        <f t="shared" si="2"/>
        <v>210</v>
      </c>
    </row>
    <row r="17" spans="1:13" hidden="1" x14ac:dyDescent="0.35">
      <c r="A17" s="21" t="s">
        <v>12</v>
      </c>
      <c r="B17" s="21" t="s">
        <v>13</v>
      </c>
      <c r="C17" s="21" t="s">
        <v>79</v>
      </c>
      <c r="D17" s="34" t="s">
        <v>98</v>
      </c>
      <c r="E17" s="22" t="s">
        <v>99</v>
      </c>
      <c r="F17" s="23">
        <v>1</v>
      </c>
      <c r="G17" s="24">
        <v>1</v>
      </c>
      <c r="H17" s="25">
        <v>200</v>
      </c>
      <c r="I17" s="25">
        <v>218</v>
      </c>
      <c r="J17" s="25">
        <v>240</v>
      </c>
      <c r="K17" s="25">
        <f t="shared" si="0"/>
        <v>200</v>
      </c>
      <c r="L17" s="25">
        <f t="shared" si="1"/>
        <v>218</v>
      </c>
      <c r="M17" s="14">
        <f t="shared" si="2"/>
        <v>240</v>
      </c>
    </row>
    <row r="18" spans="1:13" hidden="1" x14ac:dyDescent="0.35">
      <c r="A18" s="21" t="s">
        <v>12</v>
      </c>
      <c r="B18" s="21" t="s">
        <v>13</v>
      </c>
      <c r="C18" s="21" t="s">
        <v>79</v>
      </c>
      <c r="D18" s="34" t="s">
        <v>100</v>
      </c>
      <c r="E18" s="22" t="s">
        <v>101</v>
      </c>
      <c r="F18" s="23">
        <v>0</v>
      </c>
      <c r="G18" s="24">
        <v>1</v>
      </c>
      <c r="H18" s="25">
        <v>390</v>
      </c>
      <c r="I18" s="25">
        <v>383</v>
      </c>
      <c r="J18" s="25">
        <v>470</v>
      </c>
      <c r="K18" s="25">
        <f t="shared" si="0"/>
        <v>390</v>
      </c>
      <c r="L18" s="25">
        <f t="shared" si="1"/>
        <v>383</v>
      </c>
      <c r="M18" s="14">
        <f t="shared" si="2"/>
        <v>470</v>
      </c>
    </row>
    <row r="19" spans="1:13" hidden="1" x14ac:dyDescent="0.35">
      <c r="A19" s="21" t="s">
        <v>12</v>
      </c>
      <c r="B19" s="21" t="s">
        <v>13</v>
      </c>
      <c r="C19" s="21" t="s">
        <v>79</v>
      </c>
      <c r="D19" s="34" t="s">
        <v>102</v>
      </c>
      <c r="E19" s="22" t="s">
        <v>103</v>
      </c>
      <c r="F19" s="23">
        <v>1</v>
      </c>
      <c r="G19" s="24">
        <v>2</v>
      </c>
      <c r="H19" s="25">
        <v>250</v>
      </c>
      <c r="I19" s="25">
        <v>320</v>
      </c>
      <c r="J19" s="25">
        <v>300</v>
      </c>
      <c r="K19" s="25">
        <f t="shared" si="0"/>
        <v>500</v>
      </c>
      <c r="L19" s="25">
        <f t="shared" si="1"/>
        <v>640</v>
      </c>
      <c r="M19" s="14">
        <f t="shared" si="2"/>
        <v>600</v>
      </c>
    </row>
    <row r="20" spans="1:13" hidden="1" x14ac:dyDescent="0.35">
      <c r="A20" s="21" t="s">
        <v>12</v>
      </c>
      <c r="B20" s="21" t="s">
        <v>13</v>
      </c>
      <c r="C20" s="21" t="s">
        <v>79</v>
      </c>
      <c r="D20" s="34" t="s">
        <v>104</v>
      </c>
      <c r="E20" s="22" t="s">
        <v>105</v>
      </c>
      <c r="F20" s="23">
        <v>1</v>
      </c>
      <c r="G20" s="24">
        <v>2</v>
      </c>
      <c r="H20" s="25">
        <v>180</v>
      </c>
      <c r="I20" s="25">
        <v>150</v>
      </c>
      <c r="J20" s="25">
        <v>150</v>
      </c>
      <c r="K20" s="25">
        <f t="shared" si="0"/>
        <v>360</v>
      </c>
      <c r="L20" s="25">
        <f t="shared" si="1"/>
        <v>300</v>
      </c>
      <c r="M20" s="14">
        <f t="shared" si="2"/>
        <v>300</v>
      </c>
    </row>
    <row r="21" spans="1:13" hidden="1" x14ac:dyDescent="0.35">
      <c r="A21" s="21" t="s">
        <v>12</v>
      </c>
      <c r="B21" s="21" t="s">
        <v>13</v>
      </c>
      <c r="C21" s="21" t="s">
        <v>1411</v>
      </c>
      <c r="D21" s="34" t="s">
        <v>132</v>
      </c>
      <c r="E21" s="22" t="s">
        <v>133</v>
      </c>
      <c r="F21" s="23">
        <v>0</v>
      </c>
      <c r="G21" s="24">
        <v>1</v>
      </c>
      <c r="H21" s="25">
        <v>8</v>
      </c>
      <c r="I21" s="25">
        <v>10</v>
      </c>
      <c r="J21" s="25">
        <v>10</v>
      </c>
      <c r="K21" s="25">
        <f t="shared" si="0"/>
        <v>8</v>
      </c>
      <c r="L21" s="25">
        <f t="shared" si="1"/>
        <v>10</v>
      </c>
      <c r="M21" s="14">
        <f t="shared" si="2"/>
        <v>10</v>
      </c>
    </row>
    <row r="22" spans="1:13" hidden="1" x14ac:dyDescent="0.35">
      <c r="A22" s="21" t="s">
        <v>12</v>
      </c>
      <c r="B22" s="21" t="s">
        <v>13</v>
      </c>
      <c r="C22" s="21" t="s">
        <v>143</v>
      </c>
      <c r="D22" s="34" t="s">
        <v>146</v>
      </c>
      <c r="E22" s="22" t="s">
        <v>147</v>
      </c>
      <c r="F22" s="23">
        <v>0.1</v>
      </c>
      <c r="G22" s="24">
        <v>1</v>
      </c>
      <c r="H22" s="25">
        <v>40</v>
      </c>
      <c r="I22" s="25">
        <v>50</v>
      </c>
      <c r="J22" s="25">
        <v>60</v>
      </c>
      <c r="K22" s="25">
        <f t="shared" si="0"/>
        <v>40</v>
      </c>
      <c r="L22" s="25">
        <f t="shared" si="1"/>
        <v>50</v>
      </c>
      <c r="M22" s="14">
        <f t="shared" si="2"/>
        <v>60</v>
      </c>
    </row>
    <row r="23" spans="1:13" hidden="1" x14ac:dyDescent="0.35">
      <c r="A23" s="21" t="s">
        <v>12</v>
      </c>
      <c r="B23" s="21" t="s">
        <v>13</v>
      </c>
      <c r="C23" s="21" t="s">
        <v>143</v>
      </c>
      <c r="D23" s="34" t="s">
        <v>182</v>
      </c>
      <c r="E23" s="22" t="s">
        <v>183</v>
      </c>
      <c r="F23" s="23">
        <v>0.1</v>
      </c>
      <c r="G23" s="24">
        <v>1</v>
      </c>
      <c r="H23" s="25">
        <v>75</v>
      </c>
      <c r="I23" s="25">
        <v>100</v>
      </c>
      <c r="J23" s="25">
        <v>100</v>
      </c>
      <c r="K23" s="25">
        <f t="shared" si="0"/>
        <v>75</v>
      </c>
      <c r="L23" s="25">
        <f t="shared" si="1"/>
        <v>100</v>
      </c>
      <c r="M23" s="14">
        <f t="shared" si="2"/>
        <v>100</v>
      </c>
    </row>
    <row r="24" spans="1:13" hidden="1" x14ac:dyDescent="0.35">
      <c r="A24" s="21" t="s">
        <v>12</v>
      </c>
      <c r="B24" s="21" t="s">
        <v>13</v>
      </c>
      <c r="C24" s="21" t="s">
        <v>13</v>
      </c>
      <c r="D24" s="34" t="s">
        <v>271</v>
      </c>
      <c r="E24" s="22" t="s">
        <v>272</v>
      </c>
      <c r="F24" s="23">
        <v>0</v>
      </c>
      <c r="G24" s="24">
        <v>1</v>
      </c>
      <c r="H24" s="25">
        <v>90</v>
      </c>
      <c r="I24" s="25">
        <v>120</v>
      </c>
      <c r="J24" s="25">
        <v>120</v>
      </c>
      <c r="K24" s="25">
        <f t="shared" si="0"/>
        <v>90</v>
      </c>
      <c r="L24" s="25">
        <f t="shared" si="1"/>
        <v>120</v>
      </c>
      <c r="M24" s="14">
        <f t="shared" si="2"/>
        <v>120</v>
      </c>
    </row>
    <row r="25" spans="1:13" hidden="1" x14ac:dyDescent="0.35">
      <c r="A25" s="21" t="s">
        <v>12</v>
      </c>
      <c r="B25" s="21" t="s">
        <v>13</v>
      </c>
      <c r="C25" s="21" t="s">
        <v>13</v>
      </c>
      <c r="D25" s="34" t="s">
        <v>283</v>
      </c>
      <c r="E25" s="22" t="s">
        <v>284</v>
      </c>
      <c r="F25" s="23">
        <v>0</v>
      </c>
      <c r="G25" s="24">
        <v>6</v>
      </c>
      <c r="H25" s="25">
        <v>122.66</v>
      </c>
      <c r="I25" s="25">
        <v>150</v>
      </c>
      <c r="J25" s="25">
        <v>150</v>
      </c>
      <c r="K25" s="25">
        <f t="shared" si="0"/>
        <v>735.96</v>
      </c>
      <c r="L25" s="25">
        <f t="shared" si="1"/>
        <v>900</v>
      </c>
      <c r="M25" s="14">
        <f t="shared" si="2"/>
        <v>900</v>
      </c>
    </row>
    <row r="26" spans="1:13" hidden="1" x14ac:dyDescent="0.35">
      <c r="A26" s="21" t="s">
        <v>12</v>
      </c>
      <c r="B26" s="21" t="s">
        <v>13</v>
      </c>
      <c r="C26" s="21" t="s">
        <v>14</v>
      </c>
      <c r="D26" s="34" t="s">
        <v>11</v>
      </c>
      <c r="E26" s="22" t="s">
        <v>35</v>
      </c>
      <c r="F26" s="23">
        <v>0.25</v>
      </c>
      <c r="G26" s="24">
        <v>5</v>
      </c>
      <c r="H26" s="25">
        <v>108</v>
      </c>
      <c r="I26" s="25">
        <v>120</v>
      </c>
      <c r="J26" s="25">
        <v>120</v>
      </c>
      <c r="K26" s="25">
        <f t="shared" si="0"/>
        <v>540</v>
      </c>
      <c r="L26" s="25">
        <f t="shared" si="1"/>
        <v>600</v>
      </c>
      <c r="M26" s="14">
        <f t="shared" si="2"/>
        <v>600</v>
      </c>
    </row>
    <row r="27" spans="1:13" hidden="1" x14ac:dyDescent="0.35">
      <c r="A27" s="21" t="s">
        <v>12</v>
      </c>
      <c r="B27" s="21" t="s">
        <v>13</v>
      </c>
      <c r="C27" s="21" t="s">
        <v>14</v>
      </c>
      <c r="D27" s="34" t="s">
        <v>46</v>
      </c>
      <c r="E27" s="22" t="s">
        <v>47</v>
      </c>
      <c r="F27" s="23">
        <v>0.25</v>
      </c>
      <c r="G27" s="24">
        <v>11</v>
      </c>
      <c r="H27" s="25">
        <v>55</v>
      </c>
      <c r="I27" s="25">
        <v>70</v>
      </c>
      <c r="J27" s="25">
        <v>95</v>
      </c>
      <c r="K27" s="25">
        <f t="shared" si="0"/>
        <v>605</v>
      </c>
      <c r="L27" s="25">
        <f t="shared" si="1"/>
        <v>770</v>
      </c>
      <c r="M27" s="14">
        <f t="shared" si="2"/>
        <v>1045</v>
      </c>
    </row>
    <row r="28" spans="1:13" hidden="1" x14ac:dyDescent="0.35">
      <c r="A28" s="21" t="s">
        <v>12</v>
      </c>
      <c r="B28" s="21" t="s">
        <v>13</v>
      </c>
      <c r="C28" s="21" t="s">
        <v>14</v>
      </c>
      <c r="D28" s="34" t="s">
        <v>54</v>
      </c>
      <c r="E28" s="22" t="s">
        <v>55</v>
      </c>
      <c r="F28" s="23">
        <v>0.25</v>
      </c>
      <c r="G28" s="24">
        <v>11</v>
      </c>
      <c r="H28" s="25">
        <v>60</v>
      </c>
      <c r="I28" s="25">
        <v>60</v>
      </c>
      <c r="J28" s="25">
        <v>70</v>
      </c>
      <c r="K28" s="25">
        <f t="shared" si="0"/>
        <v>660</v>
      </c>
      <c r="L28" s="25">
        <f t="shared" si="1"/>
        <v>660</v>
      </c>
      <c r="M28" s="14">
        <f t="shared" si="2"/>
        <v>770</v>
      </c>
    </row>
    <row r="29" spans="1:13" hidden="1" x14ac:dyDescent="0.35">
      <c r="A29" s="21" t="s">
        <v>12</v>
      </c>
      <c r="B29" s="21" t="s">
        <v>13</v>
      </c>
      <c r="C29" s="21" t="s">
        <v>14</v>
      </c>
      <c r="D29" s="34" t="s">
        <v>70</v>
      </c>
      <c r="E29" s="22" t="s">
        <v>71</v>
      </c>
      <c r="F29" s="23">
        <v>0.17499999999999999</v>
      </c>
      <c r="G29" s="24">
        <v>2</v>
      </c>
      <c r="H29" s="25">
        <v>168</v>
      </c>
      <c r="I29" s="25">
        <v>190</v>
      </c>
      <c r="J29" s="25">
        <v>190</v>
      </c>
      <c r="K29" s="25">
        <f t="shared" si="0"/>
        <v>336</v>
      </c>
      <c r="L29" s="25">
        <f t="shared" si="1"/>
        <v>380</v>
      </c>
      <c r="M29" s="14">
        <f t="shared" si="2"/>
        <v>380</v>
      </c>
    </row>
    <row r="30" spans="1:13" hidden="1" x14ac:dyDescent="0.35">
      <c r="A30" s="21" t="s">
        <v>12</v>
      </c>
      <c r="B30" s="21" t="s">
        <v>13</v>
      </c>
      <c r="C30" s="21" t="s">
        <v>79</v>
      </c>
      <c r="D30" s="34" t="s">
        <v>88</v>
      </c>
      <c r="E30" s="22" t="s">
        <v>89</v>
      </c>
      <c r="F30" s="23">
        <v>0</v>
      </c>
      <c r="G30" s="24">
        <v>1</v>
      </c>
      <c r="H30" s="25">
        <v>375</v>
      </c>
      <c r="I30" s="25">
        <v>400</v>
      </c>
      <c r="J30" s="25">
        <v>400</v>
      </c>
      <c r="K30" s="25">
        <f t="shared" si="0"/>
        <v>375</v>
      </c>
      <c r="L30" s="25">
        <f t="shared" si="1"/>
        <v>400</v>
      </c>
      <c r="M30" s="14">
        <f t="shared" si="2"/>
        <v>400</v>
      </c>
    </row>
    <row r="31" spans="1:13" hidden="1" x14ac:dyDescent="0.35">
      <c r="A31" s="21" t="s">
        <v>12</v>
      </c>
      <c r="B31" s="21" t="s">
        <v>13</v>
      </c>
      <c r="C31" s="21" t="s">
        <v>291</v>
      </c>
      <c r="D31" s="34" t="s">
        <v>294</v>
      </c>
      <c r="E31" s="22" t="s">
        <v>295</v>
      </c>
      <c r="F31" s="23">
        <v>0</v>
      </c>
      <c r="G31" s="24">
        <v>1</v>
      </c>
      <c r="H31" s="25">
        <v>882</v>
      </c>
      <c r="I31" s="25">
        <v>1000</v>
      </c>
      <c r="J31" s="25">
        <v>1000</v>
      </c>
      <c r="K31" s="25">
        <f t="shared" si="0"/>
        <v>882</v>
      </c>
      <c r="L31" s="25">
        <f t="shared" si="1"/>
        <v>1000</v>
      </c>
      <c r="M31" s="14">
        <f t="shared" si="2"/>
        <v>1000</v>
      </c>
    </row>
    <row r="32" spans="1:13" hidden="1" x14ac:dyDescent="0.35">
      <c r="A32" s="21" t="s">
        <v>12</v>
      </c>
      <c r="B32" s="21" t="s">
        <v>13</v>
      </c>
      <c r="C32" s="21" t="s">
        <v>14</v>
      </c>
      <c r="D32" s="34" t="s">
        <v>42</v>
      </c>
      <c r="E32" s="22" t="s">
        <v>43</v>
      </c>
      <c r="F32" s="23">
        <v>0.5</v>
      </c>
      <c r="G32" s="24">
        <v>2</v>
      </c>
      <c r="H32" s="25">
        <v>93</v>
      </c>
      <c r="I32" s="25">
        <v>120</v>
      </c>
      <c r="J32" s="25">
        <v>120</v>
      </c>
      <c r="K32" s="25">
        <f t="shared" si="0"/>
        <v>186</v>
      </c>
      <c r="L32" s="25">
        <f t="shared" si="1"/>
        <v>240</v>
      </c>
      <c r="M32" s="14">
        <f t="shared" si="2"/>
        <v>240</v>
      </c>
    </row>
    <row r="33" spans="1:13" hidden="1" x14ac:dyDescent="0.35">
      <c r="A33" s="21" t="s">
        <v>12</v>
      </c>
      <c r="B33" s="21" t="s">
        <v>13</v>
      </c>
      <c r="C33" s="21" t="s">
        <v>14</v>
      </c>
      <c r="D33" s="34" t="s">
        <v>58</v>
      </c>
      <c r="E33" s="22" t="s">
        <v>59</v>
      </c>
      <c r="F33" s="23">
        <v>1</v>
      </c>
      <c r="G33" s="24">
        <v>25</v>
      </c>
      <c r="H33" s="25">
        <v>240</v>
      </c>
      <c r="I33" s="25">
        <v>240</v>
      </c>
      <c r="J33" s="25">
        <v>280</v>
      </c>
      <c r="K33" s="25">
        <f t="shared" si="0"/>
        <v>6000</v>
      </c>
      <c r="L33" s="25">
        <f t="shared" si="1"/>
        <v>6000</v>
      </c>
      <c r="M33" s="14">
        <f t="shared" si="2"/>
        <v>7000</v>
      </c>
    </row>
    <row r="34" spans="1:13" hidden="1" x14ac:dyDescent="0.35">
      <c r="A34" s="21" t="s">
        <v>12</v>
      </c>
      <c r="B34" s="21" t="s">
        <v>13</v>
      </c>
      <c r="C34" s="21" t="s">
        <v>14</v>
      </c>
      <c r="D34" s="34" t="s">
        <v>72</v>
      </c>
      <c r="E34" s="22" t="s">
        <v>73</v>
      </c>
      <c r="F34" s="23">
        <v>0.25</v>
      </c>
      <c r="G34" s="24">
        <v>3</v>
      </c>
      <c r="H34" s="25">
        <v>200</v>
      </c>
      <c r="I34" s="25">
        <v>250</v>
      </c>
      <c r="J34" s="25">
        <v>250</v>
      </c>
      <c r="K34" s="25">
        <f t="shared" si="0"/>
        <v>600</v>
      </c>
      <c r="L34" s="25">
        <f t="shared" si="1"/>
        <v>750</v>
      </c>
      <c r="M34" s="14">
        <f t="shared" si="2"/>
        <v>750</v>
      </c>
    </row>
    <row r="35" spans="1:13" hidden="1" x14ac:dyDescent="0.35">
      <c r="A35" s="21" t="s">
        <v>12</v>
      </c>
      <c r="B35" s="21" t="s">
        <v>13</v>
      </c>
      <c r="C35" s="21" t="s">
        <v>13</v>
      </c>
      <c r="D35" s="34" t="s">
        <v>263</v>
      </c>
      <c r="E35" s="22" t="s">
        <v>264</v>
      </c>
      <c r="F35" s="23">
        <v>0.05</v>
      </c>
      <c r="G35" s="24">
        <v>2</v>
      </c>
      <c r="H35" s="25">
        <v>130</v>
      </c>
      <c r="I35" s="25">
        <v>180</v>
      </c>
      <c r="J35" s="25">
        <v>180</v>
      </c>
      <c r="K35" s="25">
        <f t="shared" si="0"/>
        <v>260</v>
      </c>
      <c r="L35" s="25">
        <f t="shared" si="1"/>
        <v>360</v>
      </c>
      <c r="M35" s="14">
        <f t="shared" si="2"/>
        <v>360</v>
      </c>
    </row>
    <row r="36" spans="1:13" hidden="1" x14ac:dyDescent="0.35">
      <c r="A36" s="21" t="s">
        <v>1639</v>
      </c>
      <c r="B36" s="21" t="s">
        <v>13</v>
      </c>
      <c r="C36" s="21" t="s">
        <v>1640</v>
      </c>
      <c r="D36" s="34" t="s">
        <v>1641</v>
      </c>
      <c r="E36" s="22" t="s">
        <v>1642</v>
      </c>
      <c r="F36" s="23">
        <v>0</v>
      </c>
      <c r="G36" s="26">
        <v>3</v>
      </c>
      <c r="H36" s="25">
        <v>210</v>
      </c>
      <c r="I36" s="25">
        <v>240</v>
      </c>
      <c r="J36" s="25">
        <v>250</v>
      </c>
      <c r="K36" s="25">
        <f t="shared" si="0"/>
        <v>630</v>
      </c>
      <c r="L36" s="25">
        <f t="shared" si="1"/>
        <v>720</v>
      </c>
      <c r="M36" s="14">
        <f t="shared" si="2"/>
        <v>750</v>
      </c>
    </row>
    <row r="37" spans="1:13" hidden="1" x14ac:dyDescent="0.35">
      <c r="A37" s="21" t="s">
        <v>12</v>
      </c>
      <c r="B37" s="21" t="s">
        <v>13</v>
      </c>
      <c r="C37" s="21" t="s">
        <v>74</v>
      </c>
      <c r="D37" s="34" t="s">
        <v>77</v>
      </c>
      <c r="E37" s="22" t="s">
        <v>78</v>
      </c>
      <c r="F37" s="23">
        <v>0</v>
      </c>
      <c r="G37" s="24">
        <v>1</v>
      </c>
      <c r="H37" s="25">
        <v>18.5</v>
      </c>
      <c r="I37" s="25">
        <v>30</v>
      </c>
      <c r="J37" s="25">
        <v>30</v>
      </c>
      <c r="K37" s="25">
        <f t="shared" si="0"/>
        <v>18.5</v>
      </c>
      <c r="L37" s="25">
        <f t="shared" si="1"/>
        <v>30</v>
      </c>
      <c r="M37" s="14">
        <f t="shared" si="2"/>
        <v>30</v>
      </c>
    </row>
    <row r="38" spans="1:13" hidden="1" x14ac:dyDescent="0.35">
      <c r="A38" s="21" t="s">
        <v>12</v>
      </c>
      <c r="B38" s="21" t="s">
        <v>13</v>
      </c>
      <c r="C38" s="21" t="s">
        <v>108</v>
      </c>
      <c r="D38" s="34" t="s">
        <v>111</v>
      </c>
      <c r="E38" s="22" t="s">
        <v>112</v>
      </c>
      <c r="F38" s="23">
        <v>1</v>
      </c>
      <c r="G38" s="24">
        <v>3</v>
      </c>
      <c r="H38" s="25">
        <v>700</v>
      </c>
      <c r="I38" s="25">
        <v>760</v>
      </c>
      <c r="J38" s="25">
        <v>800</v>
      </c>
      <c r="K38" s="25">
        <f t="shared" si="0"/>
        <v>2100</v>
      </c>
      <c r="L38" s="25">
        <f t="shared" si="1"/>
        <v>2280</v>
      </c>
      <c r="M38" s="14">
        <f t="shared" si="2"/>
        <v>2400</v>
      </c>
    </row>
    <row r="39" spans="1:13" hidden="1" x14ac:dyDescent="0.35">
      <c r="A39" s="21" t="s">
        <v>12</v>
      </c>
      <c r="B39" s="21" t="s">
        <v>13</v>
      </c>
      <c r="C39" s="21" t="s">
        <v>143</v>
      </c>
      <c r="D39" s="34" t="s">
        <v>150</v>
      </c>
      <c r="E39" s="22" t="s">
        <v>151</v>
      </c>
      <c r="F39" s="23">
        <v>0.08</v>
      </c>
      <c r="G39" s="24">
        <v>4</v>
      </c>
      <c r="H39" s="25">
        <v>80</v>
      </c>
      <c r="I39" s="25">
        <v>100</v>
      </c>
      <c r="J39" s="25">
        <v>100</v>
      </c>
      <c r="K39" s="25">
        <f t="shared" si="0"/>
        <v>320</v>
      </c>
      <c r="L39" s="25">
        <f t="shared" si="1"/>
        <v>400</v>
      </c>
      <c r="M39" s="14">
        <f t="shared" si="2"/>
        <v>400</v>
      </c>
    </row>
    <row r="40" spans="1:13" hidden="1" x14ac:dyDescent="0.35">
      <c r="A40" s="21" t="s">
        <v>12</v>
      </c>
      <c r="B40" s="21" t="s">
        <v>13</v>
      </c>
      <c r="C40" s="21" t="s">
        <v>143</v>
      </c>
      <c r="D40" s="34" t="s">
        <v>194</v>
      </c>
      <c r="E40" s="22" t="s">
        <v>195</v>
      </c>
      <c r="F40" s="23">
        <v>0.05</v>
      </c>
      <c r="G40" s="24">
        <v>4</v>
      </c>
      <c r="H40" s="25">
        <v>40</v>
      </c>
      <c r="I40" s="25">
        <v>50</v>
      </c>
      <c r="J40" s="25">
        <v>50</v>
      </c>
      <c r="K40" s="25">
        <f t="shared" si="0"/>
        <v>160</v>
      </c>
      <c r="L40" s="25">
        <f t="shared" si="1"/>
        <v>200</v>
      </c>
      <c r="M40" s="14">
        <f t="shared" si="2"/>
        <v>200</v>
      </c>
    </row>
    <row r="41" spans="1:13" hidden="1" x14ac:dyDescent="0.35">
      <c r="A41" s="21" t="s">
        <v>12</v>
      </c>
      <c r="B41" s="21" t="s">
        <v>13</v>
      </c>
      <c r="C41" s="21" t="s">
        <v>143</v>
      </c>
      <c r="D41" s="34" t="s">
        <v>196</v>
      </c>
      <c r="E41" s="22" t="s">
        <v>197</v>
      </c>
      <c r="F41" s="23">
        <v>0.05</v>
      </c>
      <c r="G41" s="24">
        <v>6</v>
      </c>
      <c r="H41" s="25">
        <v>50</v>
      </c>
      <c r="I41" s="25">
        <v>60</v>
      </c>
      <c r="J41" s="25">
        <v>60</v>
      </c>
      <c r="K41" s="25">
        <f t="shared" si="0"/>
        <v>300</v>
      </c>
      <c r="L41" s="25">
        <f t="shared" si="1"/>
        <v>360</v>
      </c>
      <c r="M41" s="14">
        <f t="shared" si="2"/>
        <v>360</v>
      </c>
    </row>
    <row r="42" spans="1:13" hidden="1" x14ac:dyDescent="0.35">
      <c r="A42" s="21" t="s">
        <v>12</v>
      </c>
      <c r="B42" s="21" t="s">
        <v>13</v>
      </c>
      <c r="C42" s="21" t="s">
        <v>1063</v>
      </c>
      <c r="D42" s="34" t="s">
        <v>279</v>
      </c>
      <c r="E42" s="22" t="s">
        <v>280</v>
      </c>
      <c r="F42" s="23">
        <v>0</v>
      </c>
      <c r="G42" s="24">
        <v>2</v>
      </c>
      <c r="H42" s="25">
        <v>120</v>
      </c>
      <c r="I42" s="25">
        <v>140</v>
      </c>
      <c r="J42" s="25">
        <v>150</v>
      </c>
      <c r="K42" s="25">
        <f t="shared" si="0"/>
        <v>240</v>
      </c>
      <c r="L42" s="25">
        <f t="shared" si="1"/>
        <v>280</v>
      </c>
      <c r="M42" s="14">
        <f t="shared" si="2"/>
        <v>300</v>
      </c>
    </row>
    <row r="43" spans="1:13" hidden="1" x14ac:dyDescent="0.35">
      <c r="A43" s="21" t="s">
        <v>12</v>
      </c>
      <c r="B43" s="21" t="s">
        <v>13</v>
      </c>
      <c r="C43" s="21" t="s">
        <v>14</v>
      </c>
      <c r="D43" s="34" t="s">
        <v>25</v>
      </c>
      <c r="E43" s="22" t="s">
        <v>26</v>
      </c>
      <c r="F43" s="23">
        <v>0.05</v>
      </c>
      <c r="G43" s="24">
        <v>1</v>
      </c>
      <c r="H43" s="25">
        <v>50</v>
      </c>
      <c r="I43" s="25">
        <v>60</v>
      </c>
      <c r="J43" s="25">
        <v>70</v>
      </c>
      <c r="K43" s="25">
        <f t="shared" si="0"/>
        <v>50</v>
      </c>
      <c r="L43" s="25">
        <f t="shared" si="1"/>
        <v>60</v>
      </c>
      <c r="M43" s="14">
        <f t="shared" si="2"/>
        <v>70</v>
      </c>
    </row>
    <row r="44" spans="1:13" hidden="1" x14ac:dyDescent="0.35">
      <c r="A44" s="21" t="s">
        <v>12</v>
      </c>
      <c r="B44" s="21" t="s">
        <v>13</v>
      </c>
      <c r="C44" s="21" t="s">
        <v>14</v>
      </c>
      <c r="D44" s="34" t="s">
        <v>38</v>
      </c>
      <c r="E44" s="22" t="s">
        <v>39</v>
      </c>
      <c r="F44" s="23">
        <v>0.25</v>
      </c>
      <c r="G44" s="24">
        <v>2</v>
      </c>
      <c r="H44" s="25">
        <v>46.5</v>
      </c>
      <c r="I44" s="25">
        <v>60</v>
      </c>
      <c r="J44" s="25">
        <v>60</v>
      </c>
      <c r="K44" s="25">
        <f t="shared" si="0"/>
        <v>93</v>
      </c>
      <c r="L44" s="25">
        <f t="shared" si="1"/>
        <v>120</v>
      </c>
      <c r="M44" s="14">
        <f t="shared" si="2"/>
        <v>120</v>
      </c>
    </row>
    <row r="45" spans="1:13" hidden="1" x14ac:dyDescent="0.35">
      <c r="A45" s="21" t="s">
        <v>12</v>
      </c>
      <c r="B45" s="21" t="s">
        <v>13</v>
      </c>
      <c r="C45" s="21" t="s">
        <v>14</v>
      </c>
      <c r="D45" s="34" t="s">
        <v>56</v>
      </c>
      <c r="E45" s="22" t="s">
        <v>57</v>
      </c>
      <c r="F45" s="23">
        <v>0.5</v>
      </c>
      <c r="G45" s="24">
        <v>7</v>
      </c>
      <c r="H45" s="25">
        <v>120</v>
      </c>
      <c r="I45" s="25">
        <v>120</v>
      </c>
      <c r="J45" s="25">
        <v>140</v>
      </c>
      <c r="K45" s="25">
        <f t="shared" si="0"/>
        <v>840</v>
      </c>
      <c r="L45" s="25">
        <f t="shared" si="1"/>
        <v>840</v>
      </c>
      <c r="M45" s="14">
        <f t="shared" si="2"/>
        <v>980</v>
      </c>
    </row>
    <row r="46" spans="1:13" hidden="1" x14ac:dyDescent="0.35">
      <c r="A46" s="21" t="s">
        <v>12</v>
      </c>
      <c r="B46" s="21" t="s">
        <v>13</v>
      </c>
      <c r="C46" s="21" t="s">
        <v>14</v>
      </c>
      <c r="D46" s="34" t="s">
        <v>64</v>
      </c>
      <c r="E46" s="22" t="s">
        <v>65</v>
      </c>
      <c r="F46" s="23">
        <v>0.25</v>
      </c>
      <c r="G46" s="24">
        <v>7</v>
      </c>
      <c r="H46" s="25">
        <v>62</v>
      </c>
      <c r="I46" s="25">
        <v>60</v>
      </c>
      <c r="J46" s="25">
        <v>80</v>
      </c>
      <c r="K46" s="25">
        <f t="shared" si="0"/>
        <v>434</v>
      </c>
      <c r="L46" s="25">
        <f t="shared" si="1"/>
        <v>420</v>
      </c>
      <c r="M46" s="14">
        <f t="shared" si="2"/>
        <v>560</v>
      </c>
    </row>
    <row r="47" spans="1:13" hidden="1" x14ac:dyDescent="0.35">
      <c r="A47" s="21" t="s">
        <v>12</v>
      </c>
      <c r="B47" s="21" t="s">
        <v>13</v>
      </c>
      <c r="C47" s="21" t="s">
        <v>108</v>
      </c>
      <c r="D47" s="34" t="s">
        <v>115</v>
      </c>
      <c r="E47" s="22" t="s">
        <v>116</v>
      </c>
      <c r="F47" s="23">
        <v>1</v>
      </c>
      <c r="G47" s="24">
        <v>4</v>
      </c>
      <c r="H47" s="25">
        <v>80</v>
      </c>
      <c r="I47" s="25">
        <v>100</v>
      </c>
      <c r="J47" s="25">
        <v>120</v>
      </c>
      <c r="K47" s="25">
        <f t="shared" si="0"/>
        <v>320</v>
      </c>
      <c r="L47" s="25">
        <f t="shared" si="1"/>
        <v>400</v>
      </c>
      <c r="M47" s="14">
        <f t="shared" si="2"/>
        <v>480</v>
      </c>
    </row>
    <row r="48" spans="1:13" hidden="1" x14ac:dyDescent="0.35">
      <c r="A48" s="21" t="s">
        <v>12</v>
      </c>
      <c r="B48" s="21" t="s">
        <v>13</v>
      </c>
      <c r="C48" s="21" t="s">
        <v>108</v>
      </c>
      <c r="D48" s="34" t="s">
        <v>125</v>
      </c>
      <c r="E48" s="22" t="s">
        <v>126</v>
      </c>
      <c r="F48" s="23">
        <v>0.5</v>
      </c>
      <c r="G48" s="24">
        <v>3</v>
      </c>
      <c r="H48" s="25">
        <v>144</v>
      </c>
      <c r="I48" s="25">
        <v>170</v>
      </c>
      <c r="J48" s="25">
        <v>180</v>
      </c>
      <c r="K48" s="25">
        <f t="shared" si="0"/>
        <v>432</v>
      </c>
      <c r="L48" s="25">
        <f t="shared" si="1"/>
        <v>510</v>
      </c>
      <c r="M48" s="14">
        <f t="shared" si="2"/>
        <v>540</v>
      </c>
    </row>
    <row r="49" spans="1:13" hidden="1" x14ac:dyDescent="0.35">
      <c r="A49" s="21" t="s">
        <v>12</v>
      </c>
      <c r="B49" s="21" t="s">
        <v>13</v>
      </c>
      <c r="C49" s="21" t="s">
        <v>143</v>
      </c>
      <c r="D49" s="34" t="s">
        <v>156</v>
      </c>
      <c r="E49" s="22" t="s">
        <v>157</v>
      </c>
      <c r="F49" s="23">
        <v>0.25</v>
      </c>
      <c r="G49" s="24">
        <v>9</v>
      </c>
      <c r="H49" s="25">
        <v>55</v>
      </c>
      <c r="I49" s="25">
        <v>60</v>
      </c>
      <c r="J49" s="25">
        <v>60</v>
      </c>
      <c r="K49" s="25">
        <f t="shared" si="0"/>
        <v>495</v>
      </c>
      <c r="L49" s="25">
        <f t="shared" si="1"/>
        <v>540</v>
      </c>
      <c r="M49" s="14">
        <f t="shared" si="2"/>
        <v>540</v>
      </c>
    </row>
    <row r="50" spans="1:13" hidden="1" x14ac:dyDescent="0.35">
      <c r="A50" s="21" t="s">
        <v>12</v>
      </c>
      <c r="B50" s="21" t="s">
        <v>13</v>
      </c>
      <c r="C50" s="21" t="s">
        <v>13</v>
      </c>
      <c r="D50" s="34" t="s">
        <v>254</v>
      </c>
      <c r="E50" s="22" t="s">
        <v>255</v>
      </c>
      <c r="F50" s="23">
        <v>0</v>
      </c>
      <c r="G50" s="24">
        <v>2</v>
      </c>
      <c r="H50" s="25">
        <v>137</v>
      </c>
      <c r="I50" s="25">
        <v>180</v>
      </c>
      <c r="J50" s="25">
        <v>180</v>
      </c>
      <c r="K50" s="25">
        <f t="shared" ref="K50:K101" si="3">H50*G50</f>
        <v>274</v>
      </c>
      <c r="L50" s="25">
        <f t="shared" ref="L50:L101" si="4">I50*G50</f>
        <v>360</v>
      </c>
      <c r="M50" s="14">
        <f t="shared" ref="M50:M101" si="5">J50*G50</f>
        <v>360</v>
      </c>
    </row>
    <row r="51" spans="1:13" hidden="1" x14ac:dyDescent="0.35">
      <c r="A51" s="21" t="s">
        <v>12</v>
      </c>
      <c r="B51" s="21" t="s">
        <v>13</v>
      </c>
      <c r="C51" s="21" t="s">
        <v>13</v>
      </c>
      <c r="D51" s="34" t="s">
        <v>281</v>
      </c>
      <c r="E51" s="22" t="s">
        <v>282</v>
      </c>
      <c r="F51" s="23">
        <v>0</v>
      </c>
      <c r="G51" s="24">
        <v>6</v>
      </c>
      <c r="H51" s="25">
        <v>122.66</v>
      </c>
      <c r="I51" s="25">
        <v>150</v>
      </c>
      <c r="J51" s="25">
        <v>150</v>
      </c>
      <c r="K51" s="25">
        <f t="shared" si="3"/>
        <v>735.96</v>
      </c>
      <c r="L51" s="25">
        <f t="shared" si="4"/>
        <v>900</v>
      </c>
      <c r="M51" s="14">
        <f t="shared" si="5"/>
        <v>900</v>
      </c>
    </row>
    <row r="52" spans="1:13" hidden="1" x14ac:dyDescent="0.35">
      <c r="A52" s="21" t="s">
        <v>12</v>
      </c>
      <c r="B52" s="21" t="s">
        <v>13</v>
      </c>
      <c r="C52" s="21" t="s">
        <v>14</v>
      </c>
      <c r="D52" s="34" t="s">
        <v>48</v>
      </c>
      <c r="E52" s="22" t="s">
        <v>49</v>
      </c>
      <c r="F52" s="23">
        <v>0.5</v>
      </c>
      <c r="G52" s="24">
        <v>6</v>
      </c>
      <c r="H52" s="25">
        <v>101</v>
      </c>
      <c r="I52" s="25">
        <v>140</v>
      </c>
      <c r="J52" s="25">
        <v>190</v>
      </c>
      <c r="K52" s="25">
        <f t="shared" si="3"/>
        <v>606</v>
      </c>
      <c r="L52" s="25">
        <f t="shared" si="4"/>
        <v>840</v>
      </c>
      <c r="M52" s="14">
        <f t="shared" si="5"/>
        <v>1140</v>
      </c>
    </row>
    <row r="53" spans="1:13" hidden="1" x14ac:dyDescent="0.35">
      <c r="A53" s="21" t="s">
        <v>12</v>
      </c>
      <c r="B53" s="21" t="s">
        <v>13</v>
      </c>
      <c r="C53" s="21" t="s">
        <v>14</v>
      </c>
      <c r="D53" s="34" t="s">
        <v>52</v>
      </c>
      <c r="E53" s="22" t="s">
        <v>53</v>
      </c>
      <c r="F53" s="23">
        <v>0.25</v>
      </c>
      <c r="G53" s="24">
        <v>13</v>
      </c>
      <c r="H53" s="25">
        <v>90.62</v>
      </c>
      <c r="I53" s="25">
        <v>100</v>
      </c>
      <c r="J53" s="25">
        <v>100</v>
      </c>
      <c r="K53" s="25">
        <f t="shared" si="3"/>
        <v>1178.06</v>
      </c>
      <c r="L53" s="25">
        <f t="shared" si="4"/>
        <v>1300</v>
      </c>
      <c r="M53" s="14">
        <f t="shared" si="5"/>
        <v>1300</v>
      </c>
    </row>
    <row r="54" spans="1:13" hidden="1" x14ac:dyDescent="0.35">
      <c r="A54" s="21" t="s">
        <v>12</v>
      </c>
      <c r="B54" s="21" t="s">
        <v>13</v>
      </c>
      <c r="C54" s="21" t="s">
        <v>79</v>
      </c>
      <c r="D54" s="34" t="s">
        <v>84</v>
      </c>
      <c r="E54" s="22" t="s">
        <v>85</v>
      </c>
      <c r="F54" s="23">
        <v>0</v>
      </c>
      <c r="G54" s="24">
        <v>4</v>
      </c>
      <c r="H54" s="25">
        <v>73.33</v>
      </c>
      <c r="I54" s="25">
        <v>100</v>
      </c>
      <c r="J54" s="25">
        <v>100</v>
      </c>
      <c r="K54" s="25">
        <f t="shared" si="3"/>
        <v>293.32</v>
      </c>
      <c r="L54" s="25">
        <f t="shared" si="4"/>
        <v>400</v>
      </c>
      <c r="M54" s="14">
        <f t="shared" si="5"/>
        <v>400</v>
      </c>
    </row>
    <row r="55" spans="1:13" hidden="1" x14ac:dyDescent="0.35">
      <c r="A55" s="21" t="s">
        <v>12</v>
      </c>
      <c r="B55" s="21" t="s">
        <v>13</v>
      </c>
      <c r="C55" s="21" t="s">
        <v>108</v>
      </c>
      <c r="D55" s="34" t="s">
        <v>117</v>
      </c>
      <c r="E55" s="22" t="s">
        <v>118</v>
      </c>
      <c r="F55" s="23">
        <v>0.5</v>
      </c>
      <c r="G55" s="24">
        <v>5</v>
      </c>
      <c r="H55" s="25">
        <v>175</v>
      </c>
      <c r="I55" s="25">
        <v>190</v>
      </c>
      <c r="J55" s="25">
        <v>190</v>
      </c>
      <c r="K55" s="25">
        <f t="shared" si="3"/>
        <v>875</v>
      </c>
      <c r="L55" s="25">
        <f t="shared" si="4"/>
        <v>950</v>
      </c>
      <c r="M55" s="14">
        <f t="shared" si="5"/>
        <v>950</v>
      </c>
    </row>
    <row r="56" spans="1:13" hidden="1" x14ac:dyDescent="0.35">
      <c r="A56" s="21" t="s">
        <v>12</v>
      </c>
      <c r="B56" s="21" t="s">
        <v>13</v>
      </c>
      <c r="C56" s="21" t="s">
        <v>14</v>
      </c>
      <c r="D56" s="34" t="s">
        <v>23</v>
      </c>
      <c r="E56" s="22" t="s">
        <v>24</v>
      </c>
      <c r="F56" s="23">
        <v>0.1</v>
      </c>
      <c r="G56" s="24">
        <v>6</v>
      </c>
      <c r="H56" s="25">
        <v>75</v>
      </c>
      <c r="I56" s="25">
        <v>100</v>
      </c>
      <c r="J56" s="25">
        <v>120</v>
      </c>
      <c r="K56" s="25">
        <f t="shared" si="3"/>
        <v>450</v>
      </c>
      <c r="L56" s="25">
        <f t="shared" si="4"/>
        <v>600</v>
      </c>
      <c r="M56" s="14">
        <f t="shared" si="5"/>
        <v>720</v>
      </c>
    </row>
    <row r="57" spans="1:13" hidden="1" x14ac:dyDescent="0.35">
      <c r="A57" s="21" t="s">
        <v>12</v>
      </c>
      <c r="B57" s="21" t="s">
        <v>13</v>
      </c>
      <c r="C57" s="21" t="s">
        <v>143</v>
      </c>
      <c r="D57" s="34" t="s">
        <v>166</v>
      </c>
      <c r="E57" s="22" t="s">
        <v>167</v>
      </c>
      <c r="F57" s="23">
        <v>0.02</v>
      </c>
      <c r="G57" s="24">
        <v>7</v>
      </c>
      <c r="H57" s="25">
        <v>45</v>
      </c>
      <c r="I57" s="25">
        <v>50</v>
      </c>
      <c r="J57" s="25">
        <v>50</v>
      </c>
      <c r="K57" s="25">
        <f t="shared" si="3"/>
        <v>315</v>
      </c>
      <c r="L57" s="25">
        <f t="shared" si="4"/>
        <v>350</v>
      </c>
      <c r="M57" s="14">
        <f t="shared" si="5"/>
        <v>350</v>
      </c>
    </row>
    <row r="58" spans="1:13" ht="15" hidden="1" customHeight="1" x14ac:dyDescent="0.35">
      <c r="A58" s="21" t="s">
        <v>12</v>
      </c>
      <c r="B58" s="21" t="s">
        <v>13</v>
      </c>
      <c r="C58" s="21" t="s">
        <v>143</v>
      </c>
      <c r="D58" s="34" t="s">
        <v>198</v>
      </c>
      <c r="E58" s="22" t="s">
        <v>199</v>
      </c>
      <c r="F58" s="23">
        <v>0.05</v>
      </c>
      <c r="G58" s="24">
        <v>1</v>
      </c>
      <c r="H58" s="25">
        <v>40</v>
      </c>
      <c r="I58" s="25">
        <v>50</v>
      </c>
      <c r="J58" s="25">
        <v>50</v>
      </c>
      <c r="K58" s="25">
        <f t="shared" si="3"/>
        <v>40</v>
      </c>
      <c r="L58" s="25">
        <f t="shared" si="4"/>
        <v>50</v>
      </c>
      <c r="M58" s="14">
        <f t="shared" si="5"/>
        <v>50</v>
      </c>
    </row>
    <row r="59" spans="1:13" hidden="1" x14ac:dyDescent="0.35">
      <c r="A59" s="21" t="s">
        <v>12</v>
      </c>
      <c r="B59" s="21" t="s">
        <v>13</v>
      </c>
      <c r="C59" s="21" t="s">
        <v>143</v>
      </c>
      <c r="D59" s="34" t="s">
        <v>200</v>
      </c>
      <c r="E59" s="22" t="s">
        <v>201</v>
      </c>
      <c r="F59" s="23">
        <v>0.05</v>
      </c>
      <c r="G59" s="24">
        <v>5</v>
      </c>
      <c r="H59" s="25">
        <v>40</v>
      </c>
      <c r="I59" s="25">
        <v>50</v>
      </c>
      <c r="J59" s="25">
        <v>50</v>
      </c>
      <c r="K59" s="25">
        <f t="shared" si="3"/>
        <v>200</v>
      </c>
      <c r="L59" s="25">
        <f t="shared" si="4"/>
        <v>250</v>
      </c>
      <c r="M59" s="14">
        <f t="shared" si="5"/>
        <v>250</v>
      </c>
    </row>
    <row r="60" spans="1:13" hidden="1" x14ac:dyDescent="0.35">
      <c r="A60" s="21" t="s">
        <v>12</v>
      </c>
      <c r="B60" s="21" t="s">
        <v>13</v>
      </c>
      <c r="C60" s="21" t="s">
        <v>108</v>
      </c>
      <c r="D60" s="34" t="s">
        <v>127</v>
      </c>
      <c r="E60" s="22" t="s">
        <v>128</v>
      </c>
      <c r="F60" s="23">
        <v>1</v>
      </c>
      <c r="G60" s="24">
        <v>45</v>
      </c>
      <c r="H60" s="25">
        <v>287.5</v>
      </c>
      <c r="I60" s="25">
        <v>340</v>
      </c>
      <c r="J60" s="25">
        <v>360</v>
      </c>
      <c r="K60" s="25">
        <f t="shared" si="3"/>
        <v>12937.5</v>
      </c>
      <c r="L60" s="25">
        <f t="shared" si="4"/>
        <v>15300</v>
      </c>
      <c r="M60" s="14">
        <f t="shared" si="5"/>
        <v>16200</v>
      </c>
    </row>
    <row r="61" spans="1:13" hidden="1" x14ac:dyDescent="0.35">
      <c r="A61" s="21" t="s">
        <v>12</v>
      </c>
      <c r="B61" s="21" t="s">
        <v>13</v>
      </c>
      <c r="C61" s="21" t="s">
        <v>143</v>
      </c>
      <c r="D61" s="34" t="s">
        <v>204</v>
      </c>
      <c r="E61" s="22" t="s">
        <v>205</v>
      </c>
      <c r="F61" s="23">
        <v>0.05</v>
      </c>
      <c r="G61" s="24">
        <v>8</v>
      </c>
      <c r="H61" s="25">
        <v>40</v>
      </c>
      <c r="I61" s="25">
        <v>50</v>
      </c>
      <c r="J61" s="25">
        <v>50</v>
      </c>
      <c r="K61" s="25">
        <f t="shared" si="3"/>
        <v>320</v>
      </c>
      <c r="L61" s="25">
        <f t="shared" si="4"/>
        <v>400</v>
      </c>
      <c r="M61" s="14">
        <f t="shared" si="5"/>
        <v>400</v>
      </c>
    </row>
    <row r="62" spans="1:13" hidden="1" x14ac:dyDescent="0.35">
      <c r="A62" s="21" t="s">
        <v>12</v>
      </c>
      <c r="B62" s="21" t="s">
        <v>13</v>
      </c>
      <c r="C62" s="21" t="s">
        <v>143</v>
      </c>
      <c r="D62" s="34" t="s">
        <v>206</v>
      </c>
      <c r="E62" s="22" t="s">
        <v>207</v>
      </c>
      <c r="F62" s="23">
        <v>0.01</v>
      </c>
      <c r="G62" s="24">
        <v>11</v>
      </c>
      <c r="H62" s="25">
        <v>75</v>
      </c>
      <c r="I62" s="25">
        <v>100</v>
      </c>
      <c r="J62" s="25">
        <v>100</v>
      </c>
      <c r="K62" s="25">
        <f t="shared" si="3"/>
        <v>825</v>
      </c>
      <c r="L62" s="25">
        <f t="shared" si="4"/>
        <v>1100</v>
      </c>
      <c r="M62" s="14">
        <f t="shared" si="5"/>
        <v>1100</v>
      </c>
    </row>
    <row r="63" spans="1:13" hidden="1" x14ac:dyDescent="0.35">
      <c r="A63" s="21" t="s">
        <v>12</v>
      </c>
      <c r="B63" s="21" t="s">
        <v>13</v>
      </c>
      <c r="C63" s="21" t="s">
        <v>143</v>
      </c>
      <c r="D63" s="34" t="s">
        <v>210</v>
      </c>
      <c r="E63" s="22" t="s">
        <v>211</v>
      </c>
      <c r="F63" s="23">
        <v>0.02</v>
      </c>
      <c r="G63" s="24">
        <v>12</v>
      </c>
      <c r="H63" s="25">
        <v>80</v>
      </c>
      <c r="I63" s="25">
        <v>100</v>
      </c>
      <c r="J63" s="25">
        <v>100</v>
      </c>
      <c r="K63" s="25">
        <f t="shared" si="3"/>
        <v>960</v>
      </c>
      <c r="L63" s="25">
        <f t="shared" si="4"/>
        <v>1200</v>
      </c>
      <c r="M63" s="14">
        <f t="shared" si="5"/>
        <v>1200</v>
      </c>
    </row>
    <row r="64" spans="1:13" hidden="1" x14ac:dyDescent="0.35">
      <c r="A64" s="21" t="s">
        <v>12</v>
      </c>
      <c r="B64" s="21" t="s">
        <v>13</v>
      </c>
      <c r="C64" s="21" t="s">
        <v>13</v>
      </c>
      <c r="D64" s="34" t="s">
        <v>273</v>
      </c>
      <c r="E64" s="22" t="s">
        <v>274</v>
      </c>
      <c r="F64" s="23">
        <v>0</v>
      </c>
      <c r="G64" s="24">
        <v>5</v>
      </c>
      <c r="H64" s="25">
        <v>57</v>
      </c>
      <c r="I64" s="25">
        <v>80</v>
      </c>
      <c r="J64" s="25">
        <v>100</v>
      </c>
      <c r="K64" s="25">
        <f t="shared" si="3"/>
        <v>285</v>
      </c>
      <c r="L64" s="25">
        <f t="shared" si="4"/>
        <v>400</v>
      </c>
      <c r="M64" s="14">
        <f t="shared" si="5"/>
        <v>500</v>
      </c>
    </row>
    <row r="65" spans="1:13" hidden="1" x14ac:dyDescent="0.35">
      <c r="A65" s="21" t="s">
        <v>12</v>
      </c>
      <c r="B65" s="21" t="s">
        <v>13</v>
      </c>
      <c r="C65" s="21" t="s">
        <v>79</v>
      </c>
      <c r="D65" s="34" t="s">
        <v>86</v>
      </c>
      <c r="E65" s="22" t="s">
        <v>87</v>
      </c>
      <c r="F65" s="23">
        <v>1</v>
      </c>
      <c r="G65" s="24">
        <v>1</v>
      </c>
      <c r="H65" s="25">
        <v>202</v>
      </c>
      <c r="I65" s="25">
        <v>280</v>
      </c>
      <c r="J65" s="25">
        <v>380</v>
      </c>
      <c r="K65" s="25">
        <f t="shared" si="3"/>
        <v>202</v>
      </c>
      <c r="L65" s="25">
        <f t="shared" si="4"/>
        <v>280</v>
      </c>
      <c r="M65" s="14">
        <f t="shared" si="5"/>
        <v>380</v>
      </c>
    </row>
    <row r="66" spans="1:13" hidden="1" x14ac:dyDescent="0.35">
      <c r="A66" s="21" t="s">
        <v>12</v>
      </c>
      <c r="B66" s="21" t="s">
        <v>13</v>
      </c>
      <c r="C66" s="21" t="s">
        <v>108</v>
      </c>
      <c r="D66" s="34" t="s">
        <v>119</v>
      </c>
      <c r="E66" s="22" t="s">
        <v>120</v>
      </c>
      <c r="F66" s="23">
        <v>1</v>
      </c>
      <c r="G66" s="24">
        <v>18</v>
      </c>
      <c r="H66" s="25">
        <v>160</v>
      </c>
      <c r="I66" s="25">
        <v>200</v>
      </c>
      <c r="J66" s="25">
        <v>240</v>
      </c>
      <c r="K66" s="25">
        <f t="shared" si="3"/>
        <v>2880</v>
      </c>
      <c r="L66" s="25">
        <f t="shared" si="4"/>
        <v>3600</v>
      </c>
      <c r="M66" s="14">
        <f t="shared" si="5"/>
        <v>4320</v>
      </c>
    </row>
    <row r="67" spans="1:13" hidden="1" x14ac:dyDescent="0.35">
      <c r="A67" s="21" t="s">
        <v>12</v>
      </c>
      <c r="B67" s="21" t="s">
        <v>13</v>
      </c>
      <c r="C67" s="21" t="s">
        <v>143</v>
      </c>
      <c r="D67" s="34" t="s">
        <v>178</v>
      </c>
      <c r="E67" s="22" t="s">
        <v>179</v>
      </c>
      <c r="F67" s="23">
        <v>0.1</v>
      </c>
      <c r="G67" s="24">
        <v>2</v>
      </c>
      <c r="H67" s="25">
        <v>155</v>
      </c>
      <c r="I67" s="25">
        <v>200</v>
      </c>
      <c r="J67" s="25">
        <v>200</v>
      </c>
      <c r="K67" s="25">
        <f t="shared" si="3"/>
        <v>310</v>
      </c>
      <c r="L67" s="25">
        <f t="shared" si="4"/>
        <v>400</v>
      </c>
      <c r="M67" s="14">
        <f t="shared" si="5"/>
        <v>400</v>
      </c>
    </row>
    <row r="68" spans="1:13" hidden="1" x14ac:dyDescent="0.35">
      <c r="A68" s="21" t="s">
        <v>12</v>
      </c>
      <c r="B68" s="21" t="s">
        <v>13</v>
      </c>
      <c r="C68" s="21" t="s">
        <v>234</v>
      </c>
      <c r="D68" s="34" t="s">
        <v>235</v>
      </c>
      <c r="E68" s="22" t="s">
        <v>236</v>
      </c>
      <c r="F68" s="23">
        <v>0.5</v>
      </c>
      <c r="G68" s="24">
        <v>1</v>
      </c>
      <c r="H68" s="25">
        <v>100</v>
      </c>
      <c r="I68" s="25">
        <v>120</v>
      </c>
      <c r="J68" s="25">
        <v>125</v>
      </c>
      <c r="K68" s="25">
        <f t="shared" si="3"/>
        <v>100</v>
      </c>
      <c r="L68" s="25">
        <f t="shared" si="4"/>
        <v>120</v>
      </c>
      <c r="M68" s="14">
        <f t="shared" si="5"/>
        <v>125</v>
      </c>
    </row>
    <row r="69" spans="1:13" hidden="1" x14ac:dyDescent="0.35">
      <c r="A69" s="21" t="s">
        <v>12</v>
      </c>
      <c r="B69" s="21" t="s">
        <v>13</v>
      </c>
      <c r="C69" s="21" t="s">
        <v>234</v>
      </c>
      <c r="D69" s="34" t="s">
        <v>237</v>
      </c>
      <c r="E69" s="22" t="s">
        <v>238</v>
      </c>
      <c r="F69" s="23">
        <v>0.5</v>
      </c>
      <c r="G69" s="24">
        <v>1</v>
      </c>
      <c r="H69" s="25">
        <v>75</v>
      </c>
      <c r="I69" s="25">
        <v>80</v>
      </c>
      <c r="J69" s="25">
        <v>100</v>
      </c>
      <c r="K69" s="25">
        <f t="shared" si="3"/>
        <v>75</v>
      </c>
      <c r="L69" s="25">
        <f t="shared" si="4"/>
        <v>80</v>
      </c>
      <c r="M69" s="14">
        <f t="shared" si="5"/>
        <v>100</v>
      </c>
    </row>
    <row r="70" spans="1:13" hidden="1" x14ac:dyDescent="0.35">
      <c r="A70" s="21" t="s">
        <v>12</v>
      </c>
      <c r="B70" s="21" t="s">
        <v>13</v>
      </c>
      <c r="C70" s="21" t="s">
        <v>246</v>
      </c>
      <c r="D70" s="34" t="s">
        <v>247</v>
      </c>
      <c r="E70" s="22" t="s">
        <v>248</v>
      </c>
      <c r="F70" s="23">
        <v>0</v>
      </c>
      <c r="G70" s="24">
        <v>9</v>
      </c>
      <c r="H70" s="25">
        <v>48</v>
      </c>
      <c r="I70" s="25">
        <v>60</v>
      </c>
      <c r="J70" s="25">
        <v>60</v>
      </c>
      <c r="K70" s="25">
        <f t="shared" si="3"/>
        <v>432</v>
      </c>
      <c r="L70" s="25">
        <f t="shared" si="4"/>
        <v>540</v>
      </c>
      <c r="M70" s="14">
        <f t="shared" si="5"/>
        <v>540</v>
      </c>
    </row>
    <row r="71" spans="1:13" hidden="1" x14ac:dyDescent="0.35">
      <c r="A71" s="21" t="s">
        <v>12</v>
      </c>
      <c r="B71" s="21" t="s">
        <v>13</v>
      </c>
      <c r="C71" s="21" t="s">
        <v>13</v>
      </c>
      <c r="D71" s="34" t="s">
        <v>261</v>
      </c>
      <c r="E71" s="22" t="s">
        <v>262</v>
      </c>
      <c r="F71" s="23">
        <v>0</v>
      </c>
      <c r="G71" s="24">
        <v>35</v>
      </c>
      <c r="H71" s="25">
        <v>29.5</v>
      </c>
      <c r="I71" s="25">
        <v>40</v>
      </c>
      <c r="J71" s="25">
        <v>40</v>
      </c>
      <c r="K71" s="25">
        <f t="shared" si="3"/>
        <v>1032.5</v>
      </c>
      <c r="L71" s="25">
        <f t="shared" si="4"/>
        <v>1400</v>
      </c>
      <c r="M71" s="14">
        <f t="shared" si="5"/>
        <v>1400</v>
      </c>
    </row>
    <row r="72" spans="1:13" hidden="1" x14ac:dyDescent="0.35">
      <c r="A72" s="21" t="s">
        <v>12</v>
      </c>
      <c r="B72" s="21" t="s">
        <v>13</v>
      </c>
      <c r="C72" s="21" t="s">
        <v>14</v>
      </c>
      <c r="D72" s="34" t="s">
        <v>31</v>
      </c>
      <c r="E72" s="22" t="s">
        <v>32</v>
      </c>
      <c r="F72" s="23">
        <v>1</v>
      </c>
      <c r="G72" s="24">
        <v>6</v>
      </c>
      <c r="H72" s="25">
        <v>192.5</v>
      </c>
      <c r="I72" s="25">
        <v>240</v>
      </c>
      <c r="J72" s="25">
        <v>320</v>
      </c>
      <c r="K72" s="25">
        <f t="shared" si="3"/>
        <v>1155</v>
      </c>
      <c r="L72" s="25">
        <f t="shared" si="4"/>
        <v>1440</v>
      </c>
      <c r="M72" s="14">
        <f t="shared" si="5"/>
        <v>1920</v>
      </c>
    </row>
    <row r="73" spans="1:13" hidden="1" x14ac:dyDescent="0.35">
      <c r="A73" s="21" t="s">
        <v>12</v>
      </c>
      <c r="B73" s="21" t="s">
        <v>13</v>
      </c>
      <c r="C73" s="21" t="s">
        <v>14</v>
      </c>
      <c r="D73" s="34" t="s">
        <v>44</v>
      </c>
      <c r="E73" s="22" t="s">
        <v>45</v>
      </c>
      <c r="F73" s="23">
        <v>1</v>
      </c>
      <c r="G73" s="24">
        <v>11</v>
      </c>
      <c r="H73" s="25">
        <v>185</v>
      </c>
      <c r="I73" s="25">
        <v>240</v>
      </c>
      <c r="J73" s="25">
        <v>240</v>
      </c>
      <c r="K73" s="25">
        <f t="shared" si="3"/>
        <v>2035</v>
      </c>
      <c r="L73" s="25">
        <f t="shared" si="4"/>
        <v>2640</v>
      </c>
      <c r="M73" s="14">
        <f t="shared" si="5"/>
        <v>2640</v>
      </c>
    </row>
    <row r="74" spans="1:13" hidden="1" x14ac:dyDescent="0.35">
      <c r="A74" s="21" t="s">
        <v>12</v>
      </c>
      <c r="B74" s="21" t="s">
        <v>13</v>
      </c>
      <c r="C74" s="21" t="s">
        <v>138</v>
      </c>
      <c r="D74" s="34" t="s">
        <v>141</v>
      </c>
      <c r="E74" s="22" t="s">
        <v>142</v>
      </c>
      <c r="F74" s="23">
        <v>0</v>
      </c>
      <c r="G74" s="24">
        <v>11</v>
      </c>
      <c r="H74" s="25">
        <v>7</v>
      </c>
      <c r="I74" s="25">
        <v>10</v>
      </c>
      <c r="J74" s="25">
        <v>0</v>
      </c>
      <c r="K74" s="25">
        <f t="shared" si="3"/>
        <v>77</v>
      </c>
      <c r="L74" s="25">
        <f t="shared" si="4"/>
        <v>110</v>
      </c>
      <c r="M74" s="14">
        <f t="shared" si="5"/>
        <v>0</v>
      </c>
    </row>
    <row r="75" spans="1:13" hidden="1" x14ac:dyDescent="0.35">
      <c r="A75" s="21" t="s">
        <v>12</v>
      </c>
      <c r="B75" s="21" t="s">
        <v>13</v>
      </c>
      <c r="C75" s="21" t="s">
        <v>143</v>
      </c>
      <c r="D75" s="34" t="s">
        <v>158</v>
      </c>
      <c r="E75" s="22" t="s">
        <v>159</v>
      </c>
      <c r="F75" s="23">
        <v>0.5</v>
      </c>
      <c r="G75" s="24">
        <v>10</v>
      </c>
      <c r="H75" s="25">
        <v>82</v>
      </c>
      <c r="I75" s="25">
        <v>80</v>
      </c>
      <c r="J75" s="25">
        <v>80</v>
      </c>
      <c r="K75" s="25">
        <f t="shared" si="3"/>
        <v>820</v>
      </c>
      <c r="L75" s="25">
        <f t="shared" si="4"/>
        <v>800</v>
      </c>
      <c r="M75" s="14">
        <f t="shared" si="5"/>
        <v>800</v>
      </c>
    </row>
    <row r="76" spans="1:13" hidden="1" x14ac:dyDescent="0.35">
      <c r="A76" s="21" t="s">
        <v>12</v>
      </c>
      <c r="B76" s="21" t="s">
        <v>13</v>
      </c>
      <c r="C76" s="21" t="s">
        <v>143</v>
      </c>
      <c r="D76" s="34" t="s">
        <v>170</v>
      </c>
      <c r="E76" s="22" t="s">
        <v>171</v>
      </c>
      <c r="F76" s="23">
        <v>0.05</v>
      </c>
      <c r="G76" s="24">
        <v>8</v>
      </c>
      <c r="H76" s="25">
        <v>25</v>
      </c>
      <c r="I76" s="25">
        <v>50</v>
      </c>
      <c r="J76" s="25">
        <v>50</v>
      </c>
      <c r="K76" s="25">
        <f t="shared" si="3"/>
        <v>200</v>
      </c>
      <c r="L76" s="25">
        <f t="shared" si="4"/>
        <v>400</v>
      </c>
      <c r="M76" s="14">
        <f t="shared" si="5"/>
        <v>400</v>
      </c>
    </row>
    <row r="77" spans="1:13" hidden="1" x14ac:dyDescent="0.35">
      <c r="A77" s="21" t="s">
        <v>12</v>
      </c>
      <c r="B77" s="21" t="s">
        <v>13</v>
      </c>
      <c r="C77" s="21" t="s">
        <v>143</v>
      </c>
      <c r="D77" s="34" t="s">
        <v>188</v>
      </c>
      <c r="E77" s="22" t="s">
        <v>189</v>
      </c>
      <c r="F77" s="23">
        <v>0.2</v>
      </c>
      <c r="G77" s="24">
        <v>3</v>
      </c>
      <c r="H77" s="25">
        <v>180</v>
      </c>
      <c r="I77" s="25">
        <v>200</v>
      </c>
      <c r="J77" s="25">
        <v>200</v>
      </c>
      <c r="K77" s="25">
        <f t="shared" si="3"/>
        <v>540</v>
      </c>
      <c r="L77" s="25">
        <f t="shared" si="4"/>
        <v>600</v>
      </c>
      <c r="M77" s="14">
        <f t="shared" si="5"/>
        <v>600</v>
      </c>
    </row>
    <row r="78" spans="1:13" hidden="1" x14ac:dyDescent="0.35">
      <c r="A78" s="21" t="s">
        <v>12</v>
      </c>
      <c r="B78" s="21" t="s">
        <v>13</v>
      </c>
      <c r="C78" s="21" t="s">
        <v>143</v>
      </c>
      <c r="D78" s="34" t="s">
        <v>202</v>
      </c>
      <c r="E78" s="22" t="s">
        <v>203</v>
      </c>
      <c r="F78" s="23">
        <v>0.05</v>
      </c>
      <c r="G78" s="24">
        <v>4</v>
      </c>
      <c r="H78" s="25">
        <v>40</v>
      </c>
      <c r="I78" s="25">
        <v>50</v>
      </c>
      <c r="J78" s="25">
        <v>50</v>
      </c>
      <c r="K78" s="25">
        <f t="shared" si="3"/>
        <v>160</v>
      </c>
      <c r="L78" s="25">
        <f t="shared" si="4"/>
        <v>200</v>
      </c>
      <c r="M78" s="14">
        <f t="shared" si="5"/>
        <v>200</v>
      </c>
    </row>
    <row r="79" spans="1:13" hidden="1" x14ac:dyDescent="0.35">
      <c r="A79" s="21" t="s">
        <v>12</v>
      </c>
      <c r="B79" s="21" t="s">
        <v>13</v>
      </c>
      <c r="C79" s="21" t="s">
        <v>13</v>
      </c>
      <c r="D79" s="34" t="s">
        <v>287</v>
      </c>
      <c r="E79" s="22" t="s">
        <v>288</v>
      </c>
      <c r="F79" s="23">
        <v>0.6</v>
      </c>
      <c r="G79" s="24">
        <v>7</v>
      </c>
      <c r="H79" s="25">
        <v>100</v>
      </c>
      <c r="I79" s="25">
        <v>130</v>
      </c>
      <c r="J79" s="25">
        <v>130</v>
      </c>
      <c r="K79" s="25">
        <f t="shared" si="3"/>
        <v>700</v>
      </c>
      <c r="L79" s="25">
        <f t="shared" si="4"/>
        <v>910</v>
      </c>
      <c r="M79" s="14">
        <f t="shared" si="5"/>
        <v>910</v>
      </c>
    </row>
    <row r="80" spans="1:13" hidden="1" x14ac:dyDescent="0.35">
      <c r="A80" s="21" t="s">
        <v>12</v>
      </c>
      <c r="B80" s="21" t="s">
        <v>13</v>
      </c>
      <c r="C80" s="21" t="s">
        <v>74</v>
      </c>
      <c r="D80" s="34" t="s">
        <v>75</v>
      </c>
      <c r="E80" s="22" t="s">
        <v>76</v>
      </c>
      <c r="F80" s="23">
        <v>0</v>
      </c>
      <c r="G80" s="24">
        <v>12</v>
      </c>
      <c r="H80" s="25">
        <v>75</v>
      </c>
      <c r="I80" s="25">
        <v>100</v>
      </c>
      <c r="J80" s="25">
        <v>110</v>
      </c>
      <c r="K80" s="25">
        <f t="shared" si="3"/>
        <v>900</v>
      </c>
      <c r="L80" s="25">
        <f t="shared" si="4"/>
        <v>1200</v>
      </c>
      <c r="M80" s="14">
        <f t="shared" si="5"/>
        <v>1320</v>
      </c>
    </row>
    <row r="81" spans="1:13" hidden="1" x14ac:dyDescent="0.35">
      <c r="A81" s="21" t="s">
        <v>12</v>
      </c>
      <c r="B81" s="21" t="s">
        <v>13</v>
      </c>
      <c r="C81" s="21" t="s">
        <v>143</v>
      </c>
      <c r="D81" s="34" t="s">
        <v>212</v>
      </c>
      <c r="E81" s="22" t="s">
        <v>213</v>
      </c>
      <c r="F81" s="23">
        <v>0.02</v>
      </c>
      <c r="G81" s="24">
        <v>28</v>
      </c>
      <c r="H81" s="25">
        <v>60</v>
      </c>
      <c r="I81" s="25">
        <v>90</v>
      </c>
      <c r="J81" s="25">
        <v>90</v>
      </c>
      <c r="K81" s="25">
        <f t="shared" si="3"/>
        <v>1680</v>
      </c>
      <c r="L81" s="25">
        <f t="shared" si="4"/>
        <v>2520</v>
      </c>
      <c r="M81" s="14">
        <f t="shared" si="5"/>
        <v>2520</v>
      </c>
    </row>
    <row r="82" spans="1:13" hidden="1" x14ac:dyDescent="0.35">
      <c r="A82" s="21" t="s">
        <v>12</v>
      </c>
      <c r="B82" s="21" t="s">
        <v>13</v>
      </c>
      <c r="C82" s="21" t="s">
        <v>143</v>
      </c>
      <c r="D82" s="34" t="s">
        <v>214</v>
      </c>
      <c r="E82" s="22" t="s">
        <v>215</v>
      </c>
      <c r="F82" s="23">
        <v>1.2E-2</v>
      </c>
      <c r="G82" s="24">
        <v>19</v>
      </c>
      <c r="H82" s="25">
        <v>65</v>
      </c>
      <c r="I82" s="25">
        <v>80</v>
      </c>
      <c r="J82" s="25">
        <v>100</v>
      </c>
      <c r="K82" s="25">
        <f t="shared" si="3"/>
        <v>1235</v>
      </c>
      <c r="L82" s="25">
        <f t="shared" si="4"/>
        <v>1520</v>
      </c>
      <c r="M82" s="14">
        <f t="shared" si="5"/>
        <v>1900</v>
      </c>
    </row>
    <row r="83" spans="1:13" hidden="1" x14ac:dyDescent="0.35">
      <c r="A83" s="21" t="s">
        <v>12</v>
      </c>
      <c r="B83" s="21" t="s">
        <v>13</v>
      </c>
      <c r="C83" s="21" t="s">
        <v>143</v>
      </c>
      <c r="D83" s="34" t="s">
        <v>154</v>
      </c>
      <c r="E83" s="22" t="s">
        <v>155</v>
      </c>
      <c r="F83" s="23">
        <v>0.5</v>
      </c>
      <c r="G83" s="24">
        <v>17</v>
      </c>
      <c r="H83" s="25">
        <v>95</v>
      </c>
      <c r="I83" s="25">
        <v>100</v>
      </c>
      <c r="J83" s="25">
        <v>100</v>
      </c>
      <c r="K83" s="25">
        <f t="shared" si="3"/>
        <v>1615</v>
      </c>
      <c r="L83" s="25">
        <f t="shared" si="4"/>
        <v>1700</v>
      </c>
      <c r="M83" s="14">
        <f t="shared" si="5"/>
        <v>1700</v>
      </c>
    </row>
    <row r="84" spans="1:13" hidden="1" x14ac:dyDescent="0.35">
      <c r="A84" s="21" t="s">
        <v>12</v>
      </c>
      <c r="B84" s="21" t="s">
        <v>13</v>
      </c>
      <c r="C84" s="21" t="s">
        <v>143</v>
      </c>
      <c r="D84" s="34" t="s">
        <v>174</v>
      </c>
      <c r="E84" s="22" t="s">
        <v>175</v>
      </c>
      <c r="F84" s="23">
        <v>0.05</v>
      </c>
      <c r="G84" s="24">
        <v>17</v>
      </c>
      <c r="H84" s="25">
        <v>40</v>
      </c>
      <c r="I84" s="25">
        <v>50</v>
      </c>
      <c r="J84" s="25">
        <v>50</v>
      </c>
      <c r="K84" s="25">
        <f t="shared" si="3"/>
        <v>680</v>
      </c>
      <c r="L84" s="25">
        <f t="shared" si="4"/>
        <v>850</v>
      </c>
      <c r="M84" s="14">
        <f t="shared" si="5"/>
        <v>850</v>
      </c>
    </row>
    <row r="85" spans="1:13" hidden="1" x14ac:dyDescent="0.35">
      <c r="A85" s="21" t="s">
        <v>12</v>
      </c>
      <c r="B85" s="21" t="s">
        <v>13</v>
      </c>
      <c r="C85" s="21" t="s">
        <v>143</v>
      </c>
      <c r="D85" s="34" t="s">
        <v>190</v>
      </c>
      <c r="E85" s="22" t="s">
        <v>191</v>
      </c>
      <c r="F85" s="23">
        <v>0.25</v>
      </c>
      <c r="G85" s="24">
        <v>13</v>
      </c>
      <c r="H85" s="25">
        <v>137.5</v>
      </c>
      <c r="I85" s="25">
        <v>200</v>
      </c>
      <c r="J85" s="25">
        <v>200</v>
      </c>
      <c r="K85" s="25">
        <f t="shared" si="3"/>
        <v>1787.5</v>
      </c>
      <c r="L85" s="25">
        <f t="shared" si="4"/>
        <v>2600</v>
      </c>
      <c r="M85" s="14">
        <f t="shared" si="5"/>
        <v>2600</v>
      </c>
    </row>
    <row r="86" spans="1:13" hidden="1" x14ac:dyDescent="0.35">
      <c r="A86" s="21" t="s">
        <v>12</v>
      </c>
      <c r="B86" s="21" t="s">
        <v>13</v>
      </c>
      <c r="C86" s="21" t="s">
        <v>14</v>
      </c>
      <c r="D86" s="34" t="s">
        <v>27</v>
      </c>
      <c r="E86" s="22" t="s">
        <v>28</v>
      </c>
      <c r="F86" s="23">
        <v>0.05</v>
      </c>
      <c r="G86" s="24">
        <v>12</v>
      </c>
      <c r="H86" s="25">
        <v>80</v>
      </c>
      <c r="I86" s="25">
        <v>100</v>
      </c>
      <c r="J86" s="25">
        <v>120</v>
      </c>
      <c r="K86" s="25">
        <f t="shared" si="3"/>
        <v>960</v>
      </c>
      <c r="L86" s="25">
        <f t="shared" si="4"/>
        <v>1200</v>
      </c>
      <c r="M86" s="14">
        <f t="shared" si="5"/>
        <v>1440</v>
      </c>
    </row>
    <row r="87" spans="1:13" hidden="1" x14ac:dyDescent="0.35">
      <c r="A87" s="21" t="s">
        <v>12</v>
      </c>
      <c r="B87" s="21" t="s">
        <v>13</v>
      </c>
      <c r="C87" s="21" t="s">
        <v>131</v>
      </c>
      <c r="D87" s="34" t="s">
        <v>62</v>
      </c>
      <c r="E87" s="22" t="s">
        <v>63</v>
      </c>
      <c r="F87" s="23">
        <v>10</v>
      </c>
      <c r="G87" s="24">
        <v>4</v>
      </c>
      <c r="H87" s="25">
        <v>1000</v>
      </c>
      <c r="I87" s="25">
        <v>1020</v>
      </c>
      <c r="J87" s="25">
        <v>1100</v>
      </c>
      <c r="K87" s="25">
        <f t="shared" si="3"/>
        <v>4000</v>
      </c>
      <c r="L87" s="25">
        <f t="shared" si="4"/>
        <v>4080</v>
      </c>
      <c r="M87" s="14">
        <f t="shared" si="5"/>
        <v>4400</v>
      </c>
    </row>
    <row r="88" spans="1:13" hidden="1" x14ac:dyDescent="0.35">
      <c r="A88" s="21" t="s">
        <v>12</v>
      </c>
      <c r="B88" s="21" t="s">
        <v>13</v>
      </c>
      <c r="C88" s="21" t="s">
        <v>143</v>
      </c>
      <c r="D88" s="34" t="s">
        <v>208</v>
      </c>
      <c r="E88" s="22" t="s">
        <v>209</v>
      </c>
      <c r="F88" s="23">
        <v>0.1</v>
      </c>
      <c r="G88" s="24">
        <v>6</v>
      </c>
      <c r="H88" s="25">
        <v>40</v>
      </c>
      <c r="I88" s="25">
        <v>50</v>
      </c>
      <c r="J88" s="25">
        <v>50</v>
      </c>
      <c r="K88" s="25">
        <f t="shared" si="3"/>
        <v>240</v>
      </c>
      <c r="L88" s="25">
        <f t="shared" si="4"/>
        <v>300</v>
      </c>
      <c r="M88" s="14">
        <f t="shared" si="5"/>
        <v>300</v>
      </c>
    </row>
    <row r="89" spans="1:13" hidden="1" x14ac:dyDescent="0.35">
      <c r="A89" s="21" t="s">
        <v>12</v>
      </c>
      <c r="B89" s="21" t="s">
        <v>13</v>
      </c>
      <c r="C89" s="21" t="s">
        <v>143</v>
      </c>
      <c r="D89" s="34" t="s">
        <v>218</v>
      </c>
      <c r="E89" s="22" t="s">
        <v>219</v>
      </c>
      <c r="F89" s="23">
        <v>0.05</v>
      </c>
      <c r="G89" s="24">
        <v>13</v>
      </c>
      <c r="H89" s="25">
        <v>120</v>
      </c>
      <c r="I89" s="25">
        <v>150</v>
      </c>
      <c r="J89" s="25">
        <v>150</v>
      </c>
      <c r="K89" s="25">
        <f t="shared" si="3"/>
        <v>1560</v>
      </c>
      <c r="L89" s="25">
        <f t="shared" si="4"/>
        <v>1950</v>
      </c>
      <c r="M89" s="14">
        <f t="shared" si="5"/>
        <v>1950</v>
      </c>
    </row>
    <row r="90" spans="1:13" hidden="1" x14ac:dyDescent="0.35">
      <c r="A90" s="21" t="s">
        <v>12</v>
      </c>
      <c r="B90" s="21" t="s">
        <v>13</v>
      </c>
      <c r="C90" s="21" t="s">
        <v>143</v>
      </c>
      <c r="D90" s="34" t="s">
        <v>222</v>
      </c>
      <c r="E90" s="22" t="s">
        <v>223</v>
      </c>
      <c r="F90" s="23">
        <v>0.05</v>
      </c>
      <c r="G90" s="24">
        <v>13</v>
      </c>
      <c r="H90" s="25">
        <v>35</v>
      </c>
      <c r="I90" s="25">
        <v>50</v>
      </c>
      <c r="J90" s="25">
        <v>50</v>
      </c>
      <c r="K90" s="25">
        <f t="shared" si="3"/>
        <v>455</v>
      </c>
      <c r="L90" s="25">
        <f t="shared" si="4"/>
        <v>650</v>
      </c>
      <c r="M90" s="14">
        <f t="shared" si="5"/>
        <v>650</v>
      </c>
    </row>
    <row r="91" spans="1:13" hidden="1" x14ac:dyDescent="0.35">
      <c r="A91" s="21" t="s">
        <v>12</v>
      </c>
      <c r="B91" s="21" t="s">
        <v>13</v>
      </c>
      <c r="C91" s="21" t="s">
        <v>143</v>
      </c>
      <c r="D91" s="34" t="s">
        <v>224</v>
      </c>
      <c r="E91" s="22" t="s">
        <v>225</v>
      </c>
      <c r="F91" s="23">
        <v>0.05</v>
      </c>
      <c r="G91" s="24">
        <v>4</v>
      </c>
      <c r="H91" s="25">
        <v>45</v>
      </c>
      <c r="I91" s="25">
        <v>50</v>
      </c>
      <c r="J91" s="25">
        <v>50</v>
      </c>
      <c r="K91" s="25">
        <f t="shared" si="3"/>
        <v>180</v>
      </c>
      <c r="L91" s="25">
        <f t="shared" si="4"/>
        <v>200</v>
      </c>
      <c r="M91" s="14">
        <f t="shared" si="5"/>
        <v>200</v>
      </c>
    </row>
    <row r="92" spans="1:13" hidden="1" x14ac:dyDescent="0.35">
      <c r="A92" s="21" t="s">
        <v>12</v>
      </c>
      <c r="B92" s="21" t="s">
        <v>13</v>
      </c>
      <c r="C92" s="21" t="s">
        <v>143</v>
      </c>
      <c r="D92" s="34" t="s">
        <v>230</v>
      </c>
      <c r="E92" s="22" t="s">
        <v>231</v>
      </c>
      <c r="F92" s="23">
        <v>0.05</v>
      </c>
      <c r="G92" s="24">
        <v>13</v>
      </c>
      <c r="H92" s="25">
        <v>15</v>
      </c>
      <c r="I92" s="25">
        <v>20</v>
      </c>
      <c r="J92" s="25">
        <v>20</v>
      </c>
      <c r="K92" s="25">
        <f t="shared" si="3"/>
        <v>195</v>
      </c>
      <c r="L92" s="25">
        <f t="shared" si="4"/>
        <v>260</v>
      </c>
      <c r="M92" s="14">
        <f t="shared" si="5"/>
        <v>260</v>
      </c>
    </row>
    <row r="93" spans="1:13" hidden="1" x14ac:dyDescent="0.35">
      <c r="A93" s="21" t="s">
        <v>12</v>
      </c>
      <c r="B93" s="21" t="s">
        <v>13</v>
      </c>
      <c r="C93" s="21" t="s">
        <v>234</v>
      </c>
      <c r="D93" s="34" t="s">
        <v>241</v>
      </c>
      <c r="E93" s="22" t="s">
        <v>242</v>
      </c>
      <c r="F93" s="23">
        <v>2</v>
      </c>
      <c r="G93" s="24">
        <v>5</v>
      </c>
      <c r="H93" s="25">
        <v>284</v>
      </c>
      <c r="I93" s="25">
        <v>300</v>
      </c>
      <c r="J93" s="25">
        <v>320</v>
      </c>
      <c r="K93" s="25">
        <f t="shared" si="3"/>
        <v>1420</v>
      </c>
      <c r="L93" s="25">
        <f t="shared" si="4"/>
        <v>1500</v>
      </c>
      <c r="M93" s="14">
        <f t="shared" si="5"/>
        <v>1600</v>
      </c>
    </row>
    <row r="94" spans="1:13" hidden="1" x14ac:dyDescent="0.35">
      <c r="A94" s="21" t="s">
        <v>12</v>
      </c>
      <c r="B94" s="21" t="s">
        <v>13</v>
      </c>
      <c r="C94" s="21" t="s">
        <v>13</v>
      </c>
      <c r="D94" s="34" t="s">
        <v>267</v>
      </c>
      <c r="E94" s="22" t="s">
        <v>268</v>
      </c>
      <c r="F94" s="23">
        <v>0</v>
      </c>
      <c r="G94" s="24">
        <v>20</v>
      </c>
      <c r="H94" s="25">
        <v>135</v>
      </c>
      <c r="I94" s="25">
        <v>160</v>
      </c>
      <c r="J94" s="25">
        <v>160</v>
      </c>
      <c r="K94" s="25">
        <f t="shared" si="3"/>
        <v>2700</v>
      </c>
      <c r="L94" s="25">
        <f t="shared" si="4"/>
        <v>3200</v>
      </c>
      <c r="M94" s="14">
        <f t="shared" si="5"/>
        <v>3200</v>
      </c>
    </row>
    <row r="95" spans="1:13" hidden="1" x14ac:dyDescent="0.35">
      <c r="A95" s="21" t="s">
        <v>12</v>
      </c>
      <c r="B95" s="21" t="s">
        <v>13</v>
      </c>
      <c r="C95" s="21" t="s">
        <v>14</v>
      </c>
      <c r="D95" s="34" t="s">
        <v>29</v>
      </c>
      <c r="E95" s="22" t="s">
        <v>30</v>
      </c>
      <c r="F95" s="23">
        <v>1</v>
      </c>
      <c r="G95" s="24">
        <v>16</v>
      </c>
      <c r="H95" s="25">
        <v>430</v>
      </c>
      <c r="I95" s="25">
        <v>480</v>
      </c>
      <c r="J95" s="25">
        <v>480</v>
      </c>
      <c r="K95" s="25">
        <f t="shared" si="3"/>
        <v>6880</v>
      </c>
      <c r="L95" s="25">
        <f t="shared" si="4"/>
        <v>7680</v>
      </c>
      <c r="M95" s="14">
        <f t="shared" si="5"/>
        <v>7680</v>
      </c>
    </row>
    <row r="96" spans="1:13" hidden="1" x14ac:dyDescent="0.35">
      <c r="A96" s="21" t="s">
        <v>12</v>
      </c>
      <c r="B96" s="21" t="s">
        <v>13</v>
      </c>
      <c r="C96" s="21" t="s">
        <v>143</v>
      </c>
      <c r="D96" s="34" t="s">
        <v>160</v>
      </c>
      <c r="E96" s="22" t="s">
        <v>161</v>
      </c>
      <c r="F96" s="23">
        <v>0.05</v>
      </c>
      <c r="G96" s="24">
        <v>4</v>
      </c>
      <c r="H96" s="25">
        <v>90</v>
      </c>
      <c r="I96" s="25">
        <v>100</v>
      </c>
      <c r="J96" s="25">
        <v>100</v>
      </c>
      <c r="K96" s="25">
        <f t="shared" si="3"/>
        <v>360</v>
      </c>
      <c r="L96" s="25">
        <f t="shared" si="4"/>
        <v>400</v>
      </c>
      <c r="M96" s="14">
        <f t="shared" si="5"/>
        <v>400</v>
      </c>
    </row>
    <row r="97" spans="1:13" hidden="1" x14ac:dyDescent="0.35">
      <c r="A97" s="21" t="s">
        <v>12</v>
      </c>
      <c r="B97" s="21" t="s">
        <v>13</v>
      </c>
      <c r="C97" s="21" t="s">
        <v>143</v>
      </c>
      <c r="D97" s="34" t="s">
        <v>152</v>
      </c>
      <c r="E97" s="22" t="s">
        <v>153</v>
      </c>
      <c r="F97" s="23">
        <v>0.05</v>
      </c>
      <c r="G97" s="24">
        <v>23</v>
      </c>
      <c r="H97" s="25">
        <v>15</v>
      </c>
      <c r="I97" s="25">
        <v>20</v>
      </c>
      <c r="J97" s="25">
        <v>20</v>
      </c>
      <c r="K97" s="25">
        <f t="shared" si="3"/>
        <v>345</v>
      </c>
      <c r="L97" s="25">
        <f t="shared" si="4"/>
        <v>460</v>
      </c>
      <c r="M97" s="14">
        <f t="shared" si="5"/>
        <v>460</v>
      </c>
    </row>
    <row r="98" spans="1:13" hidden="1" x14ac:dyDescent="0.35">
      <c r="A98" s="21" t="s">
        <v>12</v>
      </c>
      <c r="B98" s="21" t="s">
        <v>13</v>
      </c>
      <c r="C98" s="21" t="s">
        <v>143</v>
      </c>
      <c r="D98" s="34" t="s">
        <v>172</v>
      </c>
      <c r="E98" s="22" t="s">
        <v>173</v>
      </c>
      <c r="F98" s="23">
        <v>0.02</v>
      </c>
      <c r="G98" s="24">
        <v>32</v>
      </c>
      <c r="H98" s="25">
        <v>35</v>
      </c>
      <c r="I98" s="25">
        <v>40</v>
      </c>
      <c r="J98" s="25">
        <v>40</v>
      </c>
      <c r="K98" s="25">
        <f t="shared" si="3"/>
        <v>1120</v>
      </c>
      <c r="L98" s="25">
        <f t="shared" si="4"/>
        <v>1280</v>
      </c>
      <c r="M98" s="14">
        <f t="shared" si="5"/>
        <v>1280</v>
      </c>
    </row>
    <row r="99" spans="1:13" hidden="1" x14ac:dyDescent="0.35">
      <c r="A99" s="21" t="s">
        <v>12</v>
      </c>
      <c r="B99" s="21" t="s">
        <v>13</v>
      </c>
      <c r="C99" s="21" t="s">
        <v>143</v>
      </c>
      <c r="D99" s="34" t="s">
        <v>228</v>
      </c>
      <c r="E99" s="22" t="s">
        <v>229</v>
      </c>
      <c r="F99" s="23">
        <v>0.1</v>
      </c>
      <c r="G99" s="24">
        <v>2</v>
      </c>
      <c r="H99" s="25">
        <v>55</v>
      </c>
      <c r="I99" s="25">
        <v>100</v>
      </c>
      <c r="J99" s="25">
        <v>100</v>
      </c>
      <c r="K99" s="25">
        <f t="shared" si="3"/>
        <v>110</v>
      </c>
      <c r="L99" s="25">
        <f t="shared" si="4"/>
        <v>200</v>
      </c>
      <c r="M99" s="14">
        <f t="shared" si="5"/>
        <v>200</v>
      </c>
    </row>
    <row r="100" spans="1:13" ht="15" hidden="1" customHeight="1" x14ac:dyDescent="0.35">
      <c r="A100" s="21" t="s">
        <v>12</v>
      </c>
      <c r="B100" s="21" t="s">
        <v>13</v>
      </c>
      <c r="C100" s="21" t="s">
        <v>14</v>
      </c>
      <c r="D100" s="34" t="s">
        <v>17</v>
      </c>
      <c r="E100" s="22" t="s">
        <v>18</v>
      </c>
      <c r="F100" s="23">
        <v>0.1</v>
      </c>
      <c r="G100" s="24">
        <v>4</v>
      </c>
      <c r="H100" s="25">
        <v>31</v>
      </c>
      <c r="I100" s="25">
        <v>50</v>
      </c>
      <c r="J100" s="25">
        <v>50</v>
      </c>
      <c r="K100" s="25">
        <f t="shared" si="3"/>
        <v>124</v>
      </c>
      <c r="L100" s="25">
        <f t="shared" si="4"/>
        <v>200</v>
      </c>
      <c r="M100" s="14">
        <f t="shared" si="5"/>
        <v>200</v>
      </c>
    </row>
    <row r="101" spans="1:13" hidden="1" x14ac:dyDescent="0.35">
      <c r="A101" s="21" t="s">
        <v>12</v>
      </c>
      <c r="B101" s="21" t="s">
        <v>13</v>
      </c>
      <c r="C101" s="21" t="s">
        <v>108</v>
      </c>
      <c r="D101" s="34" t="s">
        <v>109</v>
      </c>
      <c r="E101" s="22" t="s">
        <v>110</v>
      </c>
      <c r="F101" s="23">
        <v>2</v>
      </c>
      <c r="G101" s="24">
        <v>9</v>
      </c>
      <c r="H101" s="25">
        <v>350</v>
      </c>
      <c r="I101" s="25">
        <v>380</v>
      </c>
      <c r="J101" s="25">
        <v>400</v>
      </c>
      <c r="K101" s="25">
        <f t="shared" si="3"/>
        <v>3150</v>
      </c>
      <c r="L101" s="25">
        <f t="shared" si="4"/>
        <v>3420</v>
      </c>
      <c r="M101" s="14">
        <f t="shared" si="5"/>
        <v>3600</v>
      </c>
    </row>
    <row r="102" spans="1:13" s="16" customFormat="1" hidden="1" x14ac:dyDescent="0.35">
      <c r="A102" s="27" t="s">
        <v>12</v>
      </c>
      <c r="B102" s="27" t="s">
        <v>13</v>
      </c>
      <c r="C102" s="27" t="s">
        <v>143</v>
      </c>
      <c r="D102" s="35" t="s">
        <v>184</v>
      </c>
      <c r="E102" s="28" t="s">
        <v>185</v>
      </c>
      <c r="F102" s="29">
        <v>0.1</v>
      </c>
      <c r="G102" s="24">
        <v>10</v>
      </c>
      <c r="H102" s="30">
        <v>80</v>
      </c>
      <c r="I102" s="30">
        <v>100</v>
      </c>
      <c r="J102" s="30">
        <v>100</v>
      </c>
      <c r="K102" s="30">
        <f t="shared" ref="K102:K132" si="6">H102*G102</f>
        <v>800</v>
      </c>
      <c r="L102" s="30">
        <f t="shared" ref="L102:L132" si="7">I102*G102</f>
        <v>1000</v>
      </c>
      <c r="M102" s="15">
        <f t="shared" ref="M102:M132" si="8">J102*G102</f>
        <v>1000</v>
      </c>
    </row>
    <row r="103" spans="1:13" hidden="1" x14ac:dyDescent="0.35">
      <c r="A103" s="21" t="s">
        <v>12</v>
      </c>
      <c r="B103" s="21" t="s">
        <v>13</v>
      </c>
      <c r="C103" s="21" t="s">
        <v>143</v>
      </c>
      <c r="D103" s="34" t="s">
        <v>232</v>
      </c>
      <c r="E103" s="22" t="s">
        <v>233</v>
      </c>
      <c r="F103" s="23">
        <v>1</v>
      </c>
      <c r="G103" s="24">
        <v>26</v>
      </c>
      <c r="H103" s="25">
        <v>100</v>
      </c>
      <c r="I103" s="25">
        <v>150</v>
      </c>
      <c r="J103" s="25">
        <v>160</v>
      </c>
      <c r="K103" s="25">
        <f t="shared" si="6"/>
        <v>2600</v>
      </c>
      <c r="L103" s="25">
        <f t="shared" si="7"/>
        <v>3900</v>
      </c>
      <c r="M103" s="14">
        <f t="shared" si="8"/>
        <v>4160</v>
      </c>
    </row>
    <row r="104" spans="1:13" hidden="1" x14ac:dyDescent="0.35">
      <c r="A104" s="21" t="s">
        <v>12</v>
      </c>
      <c r="B104" s="21" t="s">
        <v>13</v>
      </c>
      <c r="C104" s="21" t="s">
        <v>143</v>
      </c>
      <c r="D104" s="34" t="s">
        <v>164</v>
      </c>
      <c r="E104" s="22" t="s">
        <v>165</v>
      </c>
      <c r="F104" s="23">
        <v>0.02</v>
      </c>
      <c r="G104" s="24">
        <v>40</v>
      </c>
      <c r="H104" s="25">
        <v>45</v>
      </c>
      <c r="I104" s="25">
        <v>50</v>
      </c>
      <c r="J104" s="25">
        <v>50</v>
      </c>
      <c r="K104" s="25">
        <f t="shared" si="6"/>
        <v>1800</v>
      </c>
      <c r="L104" s="25">
        <f t="shared" si="7"/>
        <v>2000</v>
      </c>
      <c r="M104" s="14">
        <f t="shared" si="8"/>
        <v>2000</v>
      </c>
    </row>
    <row r="105" spans="1:13" hidden="1" x14ac:dyDescent="0.35">
      <c r="A105" s="21" t="s">
        <v>12</v>
      </c>
      <c r="B105" s="21" t="s">
        <v>13</v>
      </c>
      <c r="C105" s="21" t="s">
        <v>108</v>
      </c>
      <c r="D105" s="34" t="s">
        <v>121</v>
      </c>
      <c r="E105" s="22" t="s">
        <v>122</v>
      </c>
      <c r="F105" s="23">
        <v>1</v>
      </c>
      <c r="G105" s="24">
        <v>34</v>
      </c>
      <c r="H105" s="25">
        <v>205</v>
      </c>
      <c r="I105" s="25">
        <v>260</v>
      </c>
      <c r="J105" s="25">
        <v>280</v>
      </c>
      <c r="K105" s="25">
        <f t="shared" si="6"/>
        <v>6970</v>
      </c>
      <c r="L105" s="25">
        <f t="shared" si="7"/>
        <v>8840</v>
      </c>
      <c r="M105" s="14">
        <f t="shared" si="8"/>
        <v>9520</v>
      </c>
    </row>
    <row r="106" spans="1:13" hidden="1" x14ac:dyDescent="0.35">
      <c r="A106" s="21" t="s">
        <v>12</v>
      </c>
      <c r="B106" s="21" t="s">
        <v>13</v>
      </c>
      <c r="C106" s="21" t="s">
        <v>143</v>
      </c>
      <c r="D106" s="34" t="s">
        <v>162</v>
      </c>
      <c r="E106" s="22" t="s">
        <v>163</v>
      </c>
      <c r="F106" s="23">
        <v>0.01</v>
      </c>
      <c r="G106" s="24">
        <v>48</v>
      </c>
      <c r="H106" s="25">
        <v>55</v>
      </c>
      <c r="I106" s="25">
        <v>60</v>
      </c>
      <c r="J106" s="25">
        <v>60</v>
      </c>
      <c r="K106" s="25">
        <f t="shared" si="6"/>
        <v>2640</v>
      </c>
      <c r="L106" s="25">
        <f t="shared" si="7"/>
        <v>2880</v>
      </c>
      <c r="M106" s="14">
        <f t="shared" si="8"/>
        <v>2880</v>
      </c>
    </row>
    <row r="107" spans="1:13" hidden="1" x14ac:dyDescent="0.35">
      <c r="A107" s="21" t="s">
        <v>12</v>
      </c>
      <c r="B107" s="21" t="s">
        <v>13</v>
      </c>
      <c r="C107" s="21" t="s">
        <v>138</v>
      </c>
      <c r="D107" s="34" t="s">
        <v>139</v>
      </c>
      <c r="E107" s="22" t="s">
        <v>140</v>
      </c>
      <c r="F107" s="23">
        <v>0</v>
      </c>
      <c r="G107" s="24">
        <v>36</v>
      </c>
      <c r="H107" s="25">
        <v>39</v>
      </c>
      <c r="I107" s="25">
        <v>50</v>
      </c>
      <c r="J107" s="25">
        <v>50</v>
      </c>
      <c r="K107" s="25">
        <f t="shared" si="6"/>
        <v>1404</v>
      </c>
      <c r="L107" s="25">
        <f t="shared" si="7"/>
        <v>1800</v>
      </c>
      <c r="M107" s="14">
        <f t="shared" si="8"/>
        <v>1800</v>
      </c>
    </row>
    <row r="108" spans="1:13" hidden="1" x14ac:dyDescent="0.35">
      <c r="A108" s="21" t="s">
        <v>12</v>
      </c>
      <c r="B108" s="21" t="s">
        <v>13</v>
      </c>
      <c r="C108" s="21" t="s">
        <v>13</v>
      </c>
      <c r="D108" s="34" t="s">
        <v>275</v>
      </c>
      <c r="E108" s="22" t="s">
        <v>276</v>
      </c>
      <c r="F108" s="23">
        <v>0</v>
      </c>
      <c r="G108" s="24">
        <v>26</v>
      </c>
      <c r="H108" s="25">
        <v>62</v>
      </c>
      <c r="I108" s="25">
        <v>80</v>
      </c>
      <c r="J108" s="25">
        <v>80</v>
      </c>
      <c r="K108" s="25">
        <f t="shared" si="6"/>
        <v>1612</v>
      </c>
      <c r="L108" s="25">
        <f t="shared" si="7"/>
        <v>2080</v>
      </c>
      <c r="M108" s="14">
        <f t="shared" si="8"/>
        <v>2080</v>
      </c>
    </row>
    <row r="109" spans="1:13" hidden="1" x14ac:dyDescent="0.35">
      <c r="A109" s="21" t="s">
        <v>12</v>
      </c>
      <c r="B109" s="21" t="s">
        <v>13</v>
      </c>
      <c r="C109" s="21" t="s">
        <v>79</v>
      </c>
      <c r="D109" s="34" t="s">
        <v>82</v>
      </c>
      <c r="E109" s="22" t="s">
        <v>83</v>
      </c>
      <c r="F109" s="23">
        <v>0</v>
      </c>
      <c r="G109" s="24">
        <v>60</v>
      </c>
      <c r="H109" s="25">
        <v>18.329999999999998</v>
      </c>
      <c r="I109" s="25">
        <v>19.329999999999998</v>
      </c>
      <c r="J109" s="25">
        <v>20</v>
      </c>
      <c r="K109" s="25">
        <f t="shared" si="6"/>
        <v>1099.8</v>
      </c>
      <c r="L109" s="25">
        <f t="shared" si="7"/>
        <v>1159.8</v>
      </c>
      <c r="M109" s="14">
        <f t="shared" si="8"/>
        <v>1200</v>
      </c>
    </row>
    <row r="110" spans="1:13" hidden="1" x14ac:dyDescent="0.35">
      <c r="A110" s="21" t="s">
        <v>296</v>
      </c>
      <c r="B110" s="21" t="s">
        <v>1847</v>
      </c>
      <c r="C110" s="21" t="s">
        <v>299</v>
      </c>
      <c r="D110" s="34" t="s">
        <v>300</v>
      </c>
      <c r="E110" s="22" t="s">
        <v>301</v>
      </c>
      <c r="F110" s="23">
        <v>0.22500000000000001</v>
      </c>
      <c r="G110" s="24">
        <v>2</v>
      </c>
      <c r="H110" s="25">
        <v>180</v>
      </c>
      <c r="I110" s="25">
        <v>200</v>
      </c>
      <c r="J110" s="25">
        <v>200</v>
      </c>
      <c r="K110" s="25">
        <f t="shared" si="6"/>
        <v>360</v>
      </c>
      <c r="L110" s="25">
        <f t="shared" si="7"/>
        <v>400</v>
      </c>
      <c r="M110" s="14">
        <f t="shared" si="8"/>
        <v>400</v>
      </c>
    </row>
    <row r="111" spans="1:13" hidden="1" x14ac:dyDescent="0.35">
      <c r="A111" s="21" t="s">
        <v>296</v>
      </c>
      <c r="B111" s="21" t="s">
        <v>1847</v>
      </c>
      <c r="C111" s="21" t="s">
        <v>299</v>
      </c>
      <c r="D111" s="34" t="s">
        <v>308</v>
      </c>
      <c r="E111" s="22" t="s">
        <v>309</v>
      </c>
      <c r="F111" s="23">
        <v>0.45</v>
      </c>
      <c r="G111" s="24">
        <v>2</v>
      </c>
      <c r="H111" s="25">
        <v>410</v>
      </c>
      <c r="I111" s="25">
        <v>470</v>
      </c>
      <c r="J111" s="25">
        <v>475</v>
      </c>
      <c r="K111" s="25">
        <f t="shared" si="6"/>
        <v>820</v>
      </c>
      <c r="L111" s="25">
        <f t="shared" si="7"/>
        <v>940</v>
      </c>
      <c r="M111" s="14">
        <f t="shared" si="8"/>
        <v>950</v>
      </c>
    </row>
    <row r="112" spans="1:13" hidden="1" x14ac:dyDescent="0.35">
      <c r="A112" s="21" t="s">
        <v>296</v>
      </c>
      <c r="B112" s="21" t="s">
        <v>297</v>
      </c>
      <c r="C112" s="21" t="s">
        <v>312</v>
      </c>
      <c r="D112" s="34" t="s">
        <v>313</v>
      </c>
      <c r="E112" s="22" t="s">
        <v>314</v>
      </c>
      <c r="F112" s="23">
        <v>0</v>
      </c>
      <c r="G112" s="24">
        <v>8</v>
      </c>
      <c r="H112" s="25">
        <v>50</v>
      </c>
      <c r="I112" s="25">
        <v>60</v>
      </c>
      <c r="J112" s="25">
        <v>60</v>
      </c>
      <c r="K112" s="25">
        <f t="shared" si="6"/>
        <v>400</v>
      </c>
      <c r="L112" s="25">
        <f t="shared" si="7"/>
        <v>480</v>
      </c>
      <c r="M112" s="14">
        <f t="shared" si="8"/>
        <v>480</v>
      </c>
    </row>
    <row r="113" spans="1:13" hidden="1" x14ac:dyDescent="0.35">
      <c r="A113" s="21" t="s">
        <v>296</v>
      </c>
      <c r="B113" s="21" t="s">
        <v>297</v>
      </c>
      <c r="C113" s="21" t="s">
        <v>328</v>
      </c>
      <c r="D113" s="34" t="s">
        <v>335</v>
      </c>
      <c r="E113" s="22" t="s">
        <v>336</v>
      </c>
      <c r="F113" s="23">
        <v>0</v>
      </c>
      <c r="G113" s="24">
        <v>4</v>
      </c>
      <c r="H113" s="25">
        <v>84</v>
      </c>
      <c r="I113" s="25">
        <v>100</v>
      </c>
      <c r="J113" s="25">
        <v>100</v>
      </c>
      <c r="K113" s="25">
        <f t="shared" si="6"/>
        <v>336</v>
      </c>
      <c r="L113" s="25">
        <f t="shared" si="7"/>
        <v>400</v>
      </c>
      <c r="M113" s="14">
        <f t="shared" si="8"/>
        <v>400</v>
      </c>
    </row>
    <row r="114" spans="1:13" hidden="1" x14ac:dyDescent="0.35">
      <c r="A114" s="21" t="s">
        <v>361</v>
      </c>
      <c r="B114" s="21" t="s">
        <v>362</v>
      </c>
      <c r="C114" s="21" t="s">
        <v>365</v>
      </c>
      <c r="D114" s="34" t="s">
        <v>366</v>
      </c>
      <c r="E114" s="22" t="s">
        <v>367</v>
      </c>
      <c r="F114" s="23">
        <v>0</v>
      </c>
      <c r="G114" s="24">
        <v>1</v>
      </c>
      <c r="H114" s="25">
        <v>300</v>
      </c>
      <c r="I114" s="25">
        <v>340</v>
      </c>
      <c r="J114" s="25">
        <v>340</v>
      </c>
      <c r="K114" s="25">
        <f t="shared" si="6"/>
        <v>300</v>
      </c>
      <c r="L114" s="25">
        <f t="shared" si="7"/>
        <v>340</v>
      </c>
      <c r="M114" s="14">
        <f t="shared" si="8"/>
        <v>340</v>
      </c>
    </row>
    <row r="115" spans="1:13" hidden="1" x14ac:dyDescent="0.35">
      <c r="A115" s="21" t="s">
        <v>361</v>
      </c>
      <c r="B115" s="21" t="s">
        <v>362</v>
      </c>
      <c r="C115" s="21" t="s">
        <v>365</v>
      </c>
      <c r="D115" s="34" t="s">
        <v>368</v>
      </c>
      <c r="E115" s="22" t="s">
        <v>369</v>
      </c>
      <c r="F115" s="23">
        <v>0</v>
      </c>
      <c r="G115" s="24">
        <v>1</v>
      </c>
      <c r="H115" s="25">
        <v>550</v>
      </c>
      <c r="I115" s="25">
        <v>600</v>
      </c>
      <c r="J115" s="25">
        <v>600</v>
      </c>
      <c r="K115" s="25">
        <f t="shared" si="6"/>
        <v>550</v>
      </c>
      <c r="L115" s="25">
        <f t="shared" si="7"/>
        <v>600</v>
      </c>
      <c r="M115" s="14">
        <f t="shared" si="8"/>
        <v>600</v>
      </c>
    </row>
    <row r="116" spans="1:13" hidden="1" x14ac:dyDescent="0.35">
      <c r="A116" s="21" t="s">
        <v>361</v>
      </c>
      <c r="B116" s="21" t="s">
        <v>362</v>
      </c>
      <c r="C116" s="21" t="s">
        <v>365</v>
      </c>
      <c r="D116" s="34" t="s">
        <v>370</v>
      </c>
      <c r="E116" s="22" t="s">
        <v>371</v>
      </c>
      <c r="F116" s="23">
        <v>0</v>
      </c>
      <c r="G116" s="24">
        <v>1</v>
      </c>
      <c r="H116" s="25">
        <v>250</v>
      </c>
      <c r="I116" s="25">
        <v>300</v>
      </c>
      <c r="J116" s="25">
        <v>300</v>
      </c>
      <c r="K116" s="25">
        <f t="shared" si="6"/>
        <v>250</v>
      </c>
      <c r="L116" s="25">
        <f t="shared" si="7"/>
        <v>300</v>
      </c>
      <c r="M116" s="14">
        <f t="shared" si="8"/>
        <v>300</v>
      </c>
    </row>
    <row r="117" spans="1:13" hidden="1" x14ac:dyDescent="0.35">
      <c r="A117" s="21" t="s">
        <v>361</v>
      </c>
      <c r="B117" s="21" t="s">
        <v>362</v>
      </c>
      <c r="C117" s="21" t="s">
        <v>372</v>
      </c>
      <c r="D117" s="34" t="s">
        <v>373</v>
      </c>
      <c r="E117" s="22" t="s">
        <v>374</v>
      </c>
      <c r="F117" s="23">
        <v>0</v>
      </c>
      <c r="G117" s="24">
        <v>2</v>
      </c>
      <c r="H117" s="25">
        <v>380</v>
      </c>
      <c r="I117" s="25">
        <v>420</v>
      </c>
      <c r="J117" s="25">
        <v>420</v>
      </c>
      <c r="K117" s="25">
        <f t="shared" si="6"/>
        <v>760</v>
      </c>
      <c r="L117" s="25">
        <f t="shared" si="7"/>
        <v>840</v>
      </c>
      <c r="M117" s="14">
        <f t="shared" si="8"/>
        <v>840</v>
      </c>
    </row>
    <row r="118" spans="1:13" hidden="1" x14ac:dyDescent="0.35">
      <c r="A118" s="21" t="s">
        <v>12</v>
      </c>
      <c r="B118" s="21" t="s">
        <v>13</v>
      </c>
      <c r="C118" s="21" t="s">
        <v>14</v>
      </c>
      <c r="D118" s="34" t="s">
        <v>375</v>
      </c>
      <c r="E118" s="22" t="s">
        <v>376</v>
      </c>
      <c r="F118" s="23">
        <v>0</v>
      </c>
      <c r="G118" s="24">
        <v>5</v>
      </c>
      <c r="H118" s="25">
        <v>215</v>
      </c>
      <c r="I118" s="25">
        <v>240</v>
      </c>
      <c r="J118" s="25">
        <v>240</v>
      </c>
      <c r="K118" s="25">
        <f t="shared" si="6"/>
        <v>1075</v>
      </c>
      <c r="L118" s="25">
        <f t="shared" si="7"/>
        <v>1200</v>
      </c>
      <c r="M118" s="14">
        <f t="shared" si="8"/>
        <v>1200</v>
      </c>
    </row>
    <row r="119" spans="1:13" hidden="1" x14ac:dyDescent="0.35">
      <c r="A119" s="21" t="s">
        <v>361</v>
      </c>
      <c r="B119" s="21" t="s">
        <v>362</v>
      </c>
      <c r="C119" s="21" t="s">
        <v>414</v>
      </c>
      <c r="D119" s="34" t="s">
        <v>415</v>
      </c>
      <c r="E119" s="22" t="s">
        <v>416</v>
      </c>
      <c r="F119" s="23">
        <v>0</v>
      </c>
      <c r="G119" s="24">
        <v>44</v>
      </c>
      <c r="H119" s="25">
        <v>6</v>
      </c>
      <c r="I119" s="25">
        <v>10</v>
      </c>
      <c r="J119" s="25">
        <v>10</v>
      </c>
      <c r="K119" s="25">
        <f t="shared" si="6"/>
        <v>264</v>
      </c>
      <c r="L119" s="25">
        <f t="shared" si="7"/>
        <v>440</v>
      </c>
      <c r="M119" s="14">
        <f t="shared" si="8"/>
        <v>440</v>
      </c>
    </row>
    <row r="120" spans="1:13" hidden="1" x14ac:dyDescent="0.35">
      <c r="A120" s="21" t="s">
        <v>361</v>
      </c>
      <c r="B120" s="21" t="s">
        <v>362</v>
      </c>
      <c r="C120" s="21" t="s">
        <v>391</v>
      </c>
      <c r="D120" s="34" t="s">
        <v>394</v>
      </c>
      <c r="E120" s="22" t="s">
        <v>395</v>
      </c>
      <c r="F120" s="23">
        <v>0</v>
      </c>
      <c r="G120" s="24">
        <v>11</v>
      </c>
      <c r="H120" s="25">
        <v>40</v>
      </c>
      <c r="I120" s="25">
        <v>50</v>
      </c>
      <c r="J120" s="25">
        <v>50</v>
      </c>
      <c r="K120" s="25">
        <f t="shared" si="6"/>
        <v>440</v>
      </c>
      <c r="L120" s="25">
        <f t="shared" si="7"/>
        <v>550</v>
      </c>
      <c r="M120" s="14">
        <f t="shared" si="8"/>
        <v>550</v>
      </c>
    </row>
    <row r="121" spans="1:13" hidden="1" x14ac:dyDescent="0.35">
      <c r="A121" s="21" t="s">
        <v>361</v>
      </c>
      <c r="B121" s="21" t="s">
        <v>362</v>
      </c>
      <c r="C121" s="21" t="s">
        <v>401</v>
      </c>
      <c r="D121" s="34" t="s">
        <v>402</v>
      </c>
      <c r="E121" s="22" t="s">
        <v>403</v>
      </c>
      <c r="F121" s="23">
        <v>0</v>
      </c>
      <c r="G121" s="24">
        <v>5</v>
      </c>
      <c r="H121" s="25">
        <v>50</v>
      </c>
      <c r="I121" s="25">
        <v>70</v>
      </c>
      <c r="J121" s="25">
        <v>80</v>
      </c>
      <c r="K121" s="25">
        <f t="shared" si="6"/>
        <v>250</v>
      </c>
      <c r="L121" s="25">
        <f t="shared" si="7"/>
        <v>350</v>
      </c>
      <c r="M121" s="14">
        <f t="shared" si="8"/>
        <v>400</v>
      </c>
    </row>
    <row r="122" spans="1:13" hidden="1" x14ac:dyDescent="0.35">
      <c r="A122" s="21" t="s">
        <v>361</v>
      </c>
      <c r="B122" s="21" t="s">
        <v>362</v>
      </c>
      <c r="C122" s="21" t="s">
        <v>405</v>
      </c>
      <c r="D122" s="34" t="s">
        <v>409</v>
      </c>
      <c r="E122" s="22" t="s">
        <v>410</v>
      </c>
      <c r="F122" s="23">
        <v>0</v>
      </c>
      <c r="G122" s="24">
        <v>9</v>
      </c>
      <c r="H122" s="25">
        <v>84</v>
      </c>
      <c r="I122" s="25">
        <v>100</v>
      </c>
      <c r="J122" s="25">
        <v>100</v>
      </c>
      <c r="K122" s="25">
        <f t="shared" si="6"/>
        <v>756</v>
      </c>
      <c r="L122" s="25">
        <f t="shared" si="7"/>
        <v>900</v>
      </c>
      <c r="M122" s="14">
        <f t="shared" si="8"/>
        <v>900</v>
      </c>
    </row>
    <row r="123" spans="1:13" hidden="1" x14ac:dyDescent="0.35">
      <c r="A123" s="21" t="s">
        <v>361</v>
      </c>
      <c r="B123" s="21" t="s">
        <v>362</v>
      </c>
      <c r="C123" s="21" t="s">
        <v>405</v>
      </c>
      <c r="D123" s="34" t="s">
        <v>411</v>
      </c>
      <c r="E123" s="22" t="s">
        <v>412</v>
      </c>
      <c r="F123" s="23">
        <v>0</v>
      </c>
      <c r="G123" s="24">
        <v>4</v>
      </c>
      <c r="H123" s="25">
        <v>35</v>
      </c>
      <c r="I123" s="25">
        <v>50</v>
      </c>
      <c r="J123" s="25">
        <v>50</v>
      </c>
      <c r="K123" s="25">
        <f t="shared" si="6"/>
        <v>140</v>
      </c>
      <c r="L123" s="25">
        <f t="shared" si="7"/>
        <v>200</v>
      </c>
      <c r="M123" s="14">
        <f t="shared" si="8"/>
        <v>200</v>
      </c>
    </row>
    <row r="124" spans="1:13" hidden="1" x14ac:dyDescent="0.35">
      <c r="A124" s="21" t="s">
        <v>12</v>
      </c>
      <c r="B124" s="21" t="s">
        <v>13</v>
      </c>
      <c r="C124" s="21" t="s">
        <v>14</v>
      </c>
      <c r="D124" s="34" t="s">
        <v>377</v>
      </c>
      <c r="E124" s="22" t="s">
        <v>378</v>
      </c>
      <c r="F124" s="23">
        <v>0.5</v>
      </c>
      <c r="G124" s="24">
        <v>6</v>
      </c>
      <c r="H124" s="25">
        <v>182</v>
      </c>
      <c r="I124" s="25">
        <v>200</v>
      </c>
      <c r="J124" s="25">
        <v>200</v>
      </c>
      <c r="K124" s="25">
        <f t="shared" si="6"/>
        <v>1092</v>
      </c>
      <c r="L124" s="25">
        <f t="shared" si="7"/>
        <v>1200</v>
      </c>
      <c r="M124" s="14">
        <f t="shared" si="8"/>
        <v>1200</v>
      </c>
    </row>
    <row r="125" spans="1:13" ht="15" hidden="1" customHeight="1" x14ac:dyDescent="0.35">
      <c r="A125" s="21" t="s">
        <v>361</v>
      </c>
      <c r="B125" s="21" t="s">
        <v>362</v>
      </c>
      <c r="C125" s="21" t="s">
        <v>405</v>
      </c>
      <c r="D125" s="34" t="s">
        <v>407</v>
      </c>
      <c r="E125" s="22" t="s">
        <v>408</v>
      </c>
      <c r="F125" s="23">
        <v>0</v>
      </c>
      <c r="G125" s="24">
        <v>15</v>
      </c>
      <c r="H125" s="25">
        <v>11.25</v>
      </c>
      <c r="I125" s="25">
        <v>15</v>
      </c>
      <c r="J125" s="25">
        <v>15</v>
      </c>
      <c r="K125" s="25">
        <f t="shared" si="6"/>
        <v>168.75</v>
      </c>
      <c r="L125" s="25">
        <f t="shared" si="7"/>
        <v>225</v>
      </c>
      <c r="M125" s="14">
        <f t="shared" si="8"/>
        <v>225</v>
      </c>
    </row>
    <row r="126" spans="1:13" hidden="1" x14ac:dyDescent="0.35">
      <c r="A126" s="21" t="s">
        <v>361</v>
      </c>
      <c r="B126" s="21" t="s">
        <v>362</v>
      </c>
      <c r="C126" s="21" t="s">
        <v>391</v>
      </c>
      <c r="D126" s="34" t="s">
        <v>392</v>
      </c>
      <c r="E126" s="22" t="s">
        <v>393</v>
      </c>
      <c r="F126" s="23">
        <v>0</v>
      </c>
      <c r="G126" s="24">
        <v>6</v>
      </c>
      <c r="H126" s="25">
        <v>60</v>
      </c>
      <c r="I126" s="25">
        <v>70</v>
      </c>
      <c r="J126" s="25">
        <v>70</v>
      </c>
      <c r="K126" s="25">
        <f t="shared" si="6"/>
        <v>360</v>
      </c>
      <c r="L126" s="25">
        <f t="shared" si="7"/>
        <v>420</v>
      </c>
      <c r="M126" s="14">
        <f t="shared" si="8"/>
        <v>420</v>
      </c>
    </row>
    <row r="127" spans="1:13" hidden="1" x14ac:dyDescent="0.35">
      <c r="A127" s="21" t="s">
        <v>361</v>
      </c>
      <c r="B127" s="21" t="s">
        <v>362</v>
      </c>
      <c r="C127" s="21" t="s">
        <v>384</v>
      </c>
      <c r="D127" s="34" t="s">
        <v>385</v>
      </c>
      <c r="E127" s="22" t="s">
        <v>386</v>
      </c>
      <c r="F127" s="23">
        <v>0</v>
      </c>
      <c r="G127" s="24">
        <v>12</v>
      </c>
      <c r="H127" s="25">
        <v>23.5</v>
      </c>
      <c r="I127" s="25">
        <v>30</v>
      </c>
      <c r="J127" s="25">
        <v>30</v>
      </c>
      <c r="K127" s="25">
        <f t="shared" si="6"/>
        <v>282</v>
      </c>
      <c r="L127" s="25">
        <f t="shared" si="7"/>
        <v>360</v>
      </c>
      <c r="M127" s="14">
        <f t="shared" si="8"/>
        <v>360</v>
      </c>
    </row>
    <row r="128" spans="1:13" hidden="1" x14ac:dyDescent="0.35">
      <c r="A128" s="21" t="s">
        <v>361</v>
      </c>
      <c r="B128" s="21" t="s">
        <v>362</v>
      </c>
      <c r="C128" s="21" t="s">
        <v>396</v>
      </c>
      <c r="D128" s="34" t="s">
        <v>399</v>
      </c>
      <c r="E128" s="22" t="s">
        <v>400</v>
      </c>
      <c r="F128" s="23">
        <v>0</v>
      </c>
      <c r="G128" s="24">
        <v>30</v>
      </c>
      <c r="H128" s="25">
        <v>13.5</v>
      </c>
      <c r="I128" s="25">
        <v>19</v>
      </c>
      <c r="J128" s="25">
        <v>20</v>
      </c>
      <c r="K128" s="25">
        <f t="shared" si="6"/>
        <v>405</v>
      </c>
      <c r="L128" s="25">
        <f t="shared" si="7"/>
        <v>570</v>
      </c>
      <c r="M128" s="14">
        <f t="shared" si="8"/>
        <v>600</v>
      </c>
    </row>
    <row r="129" spans="1:13" hidden="1" x14ac:dyDescent="0.35">
      <c r="A129" s="21" t="s">
        <v>419</v>
      </c>
      <c r="B129" s="31" t="s">
        <v>1829</v>
      </c>
      <c r="C129" s="21" t="s">
        <v>465</v>
      </c>
      <c r="D129" s="34" t="s">
        <v>466</v>
      </c>
      <c r="E129" s="22" t="s">
        <v>467</v>
      </c>
      <c r="F129" s="23">
        <v>1</v>
      </c>
      <c r="G129" s="24">
        <v>5</v>
      </c>
      <c r="H129" s="25">
        <v>185</v>
      </c>
      <c r="I129" s="25">
        <v>210</v>
      </c>
      <c r="J129" s="25">
        <v>220</v>
      </c>
      <c r="K129" s="25">
        <f t="shared" si="6"/>
        <v>925</v>
      </c>
      <c r="L129" s="25">
        <f t="shared" si="7"/>
        <v>1050</v>
      </c>
      <c r="M129" s="14">
        <f t="shared" si="8"/>
        <v>1100</v>
      </c>
    </row>
    <row r="130" spans="1:13" hidden="1" x14ac:dyDescent="0.35">
      <c r="A130" s="21" t="s">
        <v>419</v>
      </c>
      <c r="B130" s="31" t="s">
        <v>1829</v>
      </c>
      <c r="C130" s="21" t="s">
        <v>465</v>
      </c>
      <c r="D130" s="34" t="s">
        <v>468</v>
      </c>
      <c r="E130" s="22" t="s">
        <v>469</v>
      </c>
      <c r="F130" s="23">
        <v>0.215</v>
      </c>
      <c r="G130" s="24">
        <v>7</v>
      </c>
      <c r="H130" s="25">
        <v>43.75</v>
      </c>
      <c r="I130" s="25">
        <v>50</v>
      </c>
      <c r="J130" s="25">
        <v>50</v>
      </c>
      <c r="K130" s="25">
        <f t="shared" si="6"/>
        <v>306.25</v>
      </c>
      <c r="L130" s="25">
        <f t="shared" si="7"/>
        <v>350</v>
      </c>
      <c r="M130" s="14">
        <f t="shared" si="8"/>
        <v>350</v>
      </c>
    </row>
    <row r="131" spans="1:13" hidden="1" x14ac:dyDescent="0.35">
      <c r="A131" s="21" t="s">
        <v>419</v>
      </c>
      <c r="B131" s="31" t="s">
        <v>1830</v>
      </c>
      <c r="C131" s="21" t="s">
        <v>479</v>
      </c>
      <c r="D131" s="34" t="s">
        <v>480</v>
      </c>
      <c r="E131" s="22" t="s">
        <v>481</v>
      </c>
      <c r="F131" s="23">
        <v>1</v>
      </c>
      <c r="G131" s="24">
        <v>1</v>
      </c>
      <c r="H131" s="25">
        <v>230</v>
      </c>
      <c r="I131" s="25">
        <v>280</v>
      </c>
      <c r="J131" s="25">
        <v>300</v>
      </c>
      <c r="K131" s="25">
        <f t="shared" si="6"/>
        <v>230</v>
      </c>
      <c r="L131" s="25">
        <f t="shared" si="7"/>
        <v>280</v>
      </c>
      <c r="M131" s="14">
        <f t="shared" si="8"/>
        <v>300</v>
      </c>
    </row>
    <row r="132" spans="1:13" hidden="1" x14ac:dyDescent="0.35">
      <c r="A132" s="21" t="s">
        <v>419</v>
      </c>
      <c r="B132" s="31" t="s">
        <v>1830</v>
      </c>
      <c r="C132" s="21" t="s">
        <v>479</v>
      </c>
      <c r="D132" s="34" t="s">
        <v>482</v>
      </c>
      <c r="E132" s="22" t="s">
        <v>483</v>
      </c>
      <c r="F132" s="23">
        <v>0.8</v>
      </c>
      <c r="G132" s="24">
        <v>2</v>
      </c>
      <c r="H132" s="25">
        <v>85</v>
      </c>
      <c r="I132" s="25">
        <v>100</v>
      </c>
      <c r="J132" s="25">
        <v>100</v>
      </c>
      <c r="K132" s="25">
        <f t="shared" si="6"/>
        <v>170</v>
      </c>
      <c r="L132" s="25">
        <f t="shared" si="7"/>
        <v>200</v>
      </c>
      <c r="M132" s="14">
        <f t="shared" si="8"/>
        <v>200</v>
      </c>
    </row>
    <row r="133" spans="1:13" hidden="1" x14ac:dyDescent="0.35">
      <c r="A133" s="21" t="s">
        <v>419</v>
      </c>
      <c r="B133" s="31" t="s">
        <v>1831</v>
      </c>
      <c r="C133" s="21" t="s">
        <v>486</v>
      </c>
      <c r="D133" s="34" t="s">
        <v>491</v>
      </c>
      <c r="E133" s="22" t="s">
        <v>492</v>
      </c>
      <c r="F133" s="23">
        <v>0.25</v>
      </c>
      <c r="G133" s="24">
        <v>2</v>
      </c>
      <c r="H133" s="25">
        <v>113.75</v>
      </c>
      <c r="I133" s="25">
        <v>150</v>
      </c>
      <c r="J133" s="25">
        <v>160</v>
      </c>
      <c r="K133" s="25">
        <f t="shared" ref="K133:K153" si="9">H133*G133</f>
        <v>227.5</v>
      </c>
      <c r="L133" s="25">
        <f t="shared" ref="L133:L153" si="10">I133*G133</f>
        <v>300</v>
      </c>
      <c r="M133" s="14">
        <f t="shared" ref="M133:M153" si="11">J133*G133</f>
        <v>320</v>
      </c>
    </row>
    <row r="134" spans="1:13" hidden="1" x14ac:dyDescent="0.35">
      <c r="A134" s="21" t="s">
        <v>419</v>
      </c>
      <c r="B134" s="31" t="s">
        <v>1831</v>
      </c>
      <c r="C134" s="21" t="s">
        <v>486</v>
      </c>
      <c r="D134" s="34" t="s">
        <v>487</v>
      </c>
      <c r="E134" s="22" t="s">
        <v>488</v>
      </c>
      <c r="F134" s="23">
        <v>0.11</v>
      </c>
      <c r="G134" s="24">
        <v>16</v>
      </c>
      <c r="H134" s="25">
        <v>17.29</v>
      </c>
      <c r="I134" s="25">
        <v>20</v>
      </c>
      <c r="J134" s="25">
        <v>20</v>
      </c>
      <c r="K134" s="25">
        <f t="shared" si="9"/>
        <v>276.64</v>
      </c>
      <c r="L134" s="25">
        <f t="shared" si="10"/>
        <v>320</v>
      </c>
      <c r="M134" s="14">
        <f t="shared" si="11"/>
        <v>320</v>
      </c>
    </row>
    <row r="135" spans="1:13" hidden="1" x14ac:dyDescent="0.35">
      <c r="A135" s="21" t="s">
        <v>419</v>
      </c>
      <c r="B135" s="31" t="s">
        <v>497</v>
      </c>
      <c r="C135" s="21" t="s">
        <v>497</v>
      </c>
      <c r="D135" s="34" t="s">
        <v>498</v>
      </c>
      <c r="E135" s="22" t="s">
        <v>1867</v>
      </c>
      <c r="F135" s="23">
        <v>0.5</v>
      </c>
      <c r="G135" s="24">
        <v>2</v>
      </c>
      <c r="H135" s="25">
        <v>245</v>
      </c>
      <c r="I135" s="25">
        <v>270</v>
      </c>
      <c r="J135" s="25">
        <v>275</v>
      </c>
      <c r="K135" s="25">
        <f t="shared" si="9"/>
        <v>490</v>
      </c>
      <c r="L135" s="25">
        <f t="shared" si="10"/>
        <v>540</v>
      </c>
      <c r="M135" s="14">
        <f t="shared" si="11"/>
        <v>550</v>
      </c>
    </row>
    <row r="136" spans="1:13" hidden="1" x14ac:dyDescent="0.35">
      <c r="A136" s="21" t="s">
        <v>419</v>
      </c>
      <c r="B136" s="31" t="s">
        <v>497</v>
      </c>
      <c r="C136" s="21" t="s">
        <v>497</v>
      </c>
      <c r="D136" s="34" t="s">
        <v>499</v>
      </c>
      <c r="E136" s="22" t="s">
        <v>1868</v>
      </c>
      <c r="F136" s="23">
        <v>1</v>
      </c>
      <c r="G136" s="24">
        <v>1</v>
      </c>
      <c r="H136" s="25">
        <v>490</v>
      </c>
      <c r="I136" s="25">
        <v>530</v>
      </c>
      <c r="J136" s="25">
        <v>550</v>
      </c>
      <c r="K136" s="25">
        <f t="shared" si="9"/>
        <v>490</v>
      </c>
      <c r="L136" s="25">
        <f t="shared" si="10"/>
        <v>530</v>
      </c>
      <c r="M136" s="14">
        <f t="shared" si="11"/>
        <v>550</v>
      </c>
    </row>
    <row r="137" spans="1:13" hidden="1" x14ac:dyDescent="0.35">
      <c r="A137" s="21" t="s">
        <v>419</v>
      </c>
      <c r="B137" s="31" t="s">
        <v>497</v>
      </c>
      <c r="C137" s="21" t="s">
        <v>497</v>
      </c>
      <c r="D137" s="34" t="s">
        <v>500</v>
      </c>
      <c r="E137" s="22" t="s">
        <v>501</v>
      </c>
      <c r="F137" s="23">
        <v>0.43</v>
      </c>
      <c r="G137" s="24">
        <v>2</v>
      </c>
      <c r="H137" s="25">
        <v>87</v>
      </c>
      <c r="I137" s="25">
        <v>100</v>
      </c>
      <c r="J137" s="25">
        <v>100</v>
      </c>
      <c r="K137" s="25">
        <f t="shared" si="9"/>
        <v>174</v>
      </c>
      <c r="L137" s="25">
        <f t="shared" si="10"/>
        <v>200</v>
      </c>
      <c r="M137" s="14">
        <f t="shared" si="11"/>
        <v>200</v>
      </c>
    </row>
    <row r="138" spans="1:13" hidden="1" x14ac:dyDescent="0.35">
      <c r="A138" s="21" t="s">
        <v>419</v>
      </c>
      <c r="B138" s="31" t="s">
        <v>497</v>
      </c>
      <c r="C138" s="21" t="s">
        <v>497</v>
      </c>
      <c r="D138" s="34" t="s">
        <v>502</v>
      </c>
      <c r="E138" s="22" t="s">
        <v>503</v>
      </c>
      <c r="F138" s="23">
        <v>1</v>
      </c>
      <c r="G138" s="24">
        <v>6</v>
      </c>
      <c r="H138" s="25">
        <v>205</v>
      </c>
      <c r="I138" s="25">
        <v>230</v>
      </c>
      <c r="J138" s="25">
        <v>230</v>
      </c>
      <c r="K138" s="25">
        <f t="shared" si="9"/>
        <v>1230</v>
      </c>
      <c r="L138" s="25">
        <f t="shared" si="10"/>
        <v>1380</v>
      </c>
      <c r="M138" s="14">
        <f t="shared" si="11"/>
        <v>1380</v>
      </c>
    </row>
    <row r="139" spans="1:13" hidden="1" x14ac:dyDescent="0.35">
      <c r="A139" s="21" t="s">
        <v>1411</v>
      </c>
      <c r="B139" s="21" t="s">
        <v>1415</v>
      </c>
      <c r="C139" s="21" t="s">
        <v>1415</v>
      </c>
      <c r="D139" s="34" t="s">
        <v>1427</v>
      </c>
      <c r="E139" s="22" t="s">
        <v>1428</v>
      </c>
      <c r="F139" s="23">
        <v>1</v>
      </c>
      <c r="G139" s="26">
        <v>3</v>
      </c>
      <c r="H139" s="25">
        <v>85</v>
      </c>
      <c r="I139" s="25">
        <v>100</v>
      </c>
      <c r="J139" s="25">
        <v>100</v>
      </c>
      <c r="K139" s="25">
        <f t="shared" si="9"/>
        <v>255</v>
      </c>
      <c r="L139" s="25">
        <f t="shared" si="10"/>
        <v>300</v>
      </c>
      <c r="M139" s="14">
        <f t="shared" si="11"/>
        <v>300</v>
      </c>
    </row>
    <row r="140" spans="1:13" ht="15" hidden="1" customHeight="1" x14ac:dyDescent="0.35">
      <c r="A140" s="21" t="s">
        <v>508</v>
      </c>
      <c r="B140" s="21" t="s">
        <v>509</v>
      </c>
      <c r="C140" s="21" t="s">
        <v>510</v>
      </c>
      <c r="D140" s="34" t="s">
        <v>511</v>
      </c>
      <c r="E140" s="22" t="s">
        <v>512</v>
      </c>
      <c r="F140" s="23">
        <v>0</v>
      </c>
      <c r="G140" s="24">
        <v>1</v>
      </c>
      <c r="H140" s="25">
        <v>40</v>
      </c>
      <c r="I140" s="25">
        <v>50</v>
      </c>
      <c r="J140" s="25">
        <v>50</v>
      </c>
      <c r="K140" s="25">
        <f t="shared" si="9"/>
        <v>40</v>
      </c>
      <c r="L140" s="25">
        <f t="shared" si="10"/>
        <v>50</v>
      </c>
      <c r="M140" s="14">
        <f t="shared" si="11"/>
        <v>50</v>
      </c>
    </row>
    <row r="141" spans="1:13" hidden="1" x14ac:dyDescent="0.35">
      <c r="A141" s="21" t="s">
        <v>508</v>
      </c>
      <c r="B141" s="21" t="s">
        <v>509</v>
      </c>
      <c r="C141" s="21" t="s">
        <v>510</v>
      </c>
      <c r="D141" s="34" t="s">
        <v>517</v>
      </c>
      <c r="E141" s="22" t="s">
        <v>518</v>
      </c>
      <c r="F141" s="23">
        <v>0</v>
      </c>
      <c r="G141" s="24">
        <v>20</v>
      </c>
      <c r="H141" s="25">
        <v>52.5</v>
      </c>
      <c r="I141" s="25">
        <v>60</v>
      </c>
      <c r="J141" s="25">
        <v>60</v>
      </c>
      <c r="K141" s="25">
        <f t="shared" si="9"/>
        <v>1050</v>
      </c>
      <c r="L141" s="25">
        <f t="shared" si="10"/>
        <v>1200</v>
      </c>
      <c r="M141" s="14">
        <f t="shared" si="11"/>
        <v>1200</v>
      </c>
    </row>
    <row r="142" spans="1:13" hidden="1" x14ac:dyDescent="0.35">
      <c r="A142" s="21" t="s">
        <v>508</v>
      </c>
      <c r="B142" s="21" t="s">
        <v>509</v>
      </c>
      <c r="C142" s="21" t="s">
        <v>510</v>
      </c>
      <c r="D142" s="34" t="s">
        <v>519</v>
      </c>
      <c r="E142" s="22" t="s">
        <v>520</v>
      </c>
      <c r="F142" s="23">
        <v>0</v>
      </c>
      <c r="G142" s="24">
        <v>2</v>
      </c>
      <c r="H142" s="25">
        <v>81</v>
      </c>
      <c r="I142" s="25">
        <v>90</v>
      </c>
      <c r="J142" s="25">
        <v>100</v>
      </c>
      <c r="K142" s="25">
        <f t="shared" si="9"/>
        <v>162</v>
      </c>
      <c r="L142" s="25">
        <f t="shared" si="10"/>
        <v>180</v>
      </c>
      <c r="M142" s="14">
        <f t="shared" si="11"/>
        <v>200</v>
      </c>
    </row>
    <row r="143" spans="1:13" hidden="1" x14ac:dyDescent="0.35">
      <c r="A143" s="21" t="s">
        <v>508</v>
      </c>
      <c r="B143" s="21" t="s">
        <v>509</v>
      </c>
      <c r="C143" s="21" t="s">
        <v>510</v>
      </c>
      <c r="D143" s="34" t="s">
        <v>523</v>
      </c>
      <c r="E143" s="22" t="s">
        <v>524</v>
      </c>
      <c r="F143" s="23">
        <v>0</v>
      </c>
      <c r="G143" s="24">
        <v>1</v>
      </c>
      <c r="H143" s="25">
        <v>130</v>
      </c>
      <c r="I143" s="25">
        <v>150</v>
      </c>
      <c r="J143" s="25">
        <v>150</v>
      </c>
      <c r="K143" s="25">
        <f t="shared" si="9"/>
        <v>130</v>
      </c>
      <c r="L143" s="25">
        <f t="shared" si="10"/>
        <v>150</v>
      </c>
      <c r="M143" s="14">
        <f t="shared" si="11"/>
        <v>150</v>
      </c>
    </row>
    <row r="144" spans="1:13" hidden="1" x14ac:dyDescent="0.35">
      <c r="A144" s="21" t="s">
        <v>508</v>
      </c>
      <c r="B144" s="21" t="s">
        <v>509</v>
      </c>
      <c r="C144" s="21" t="s">
        <v>510</v>
      </c>
      <c r="D144" s="34" t="s">
        <v>525</v>
      </c>
      <c r="E144" s="22" t="s">
        <v>526</v>
      </c>
      <c r="F144" s="23">
        <v>0</v>
      </c>
      <c r="G144" s="24">
        <v>5</v>
      </c>
      <c r="H144" s="25">
        <v>100</v>
      </c>
      <c r="I144" s="25">
        <v>120</v>
      </c>
      <c r="J144" s="25">
        <v>150</v>
      </c>
      <c r="K144" s="25">
        <f t="shared" si="9"/>
        <v>500</v>
      </c>
      <c r="L144" s="25">
        <f t="shared" si="10"/>
        <v>600</v>
      </c>
      <c r="M144" s="14">
        <f t="shared" si="11"/>
        <v>750</v>
      </c>
    </row>
    <row r="145" spans="1:13" hidden="1" x14ac:dyDescent="0.35">
      <c r="A145" s="21" t="s">
        <v>508</v>
      </c>
      <c r="B145" s="21" t="s">
        <v>509</v>
      </c>
      <c r="C145" s="21" t="s">
        <v>510</v>
      </c>
      <c r="D145" s="34" t="s">
        <v>527</v>
      </c>
      <c r="E145" s="22" t="s">
        <v>528</v>
      </c>
      <c r="F145" s="23">
        <v>0.2</v>
      </c>
      <c r="G145" s="24">
        <v>1</v>
      </c>
      <c r="H145" s="25">
        <v>330</v>
      </c>
      <c r="I145" s="25">
        <v>450</v>
      </c>
      <c r="J145" s="25">
        <v>499</v>
      </c>
      <c r="K145" s="25">
        <f t="shared" si="9"/>
        <v>330</v>
      </c>
      <c r="L145" s="25">
        <f t="shared" si="10"/>
        <v>450</v>
      </c>
      <c r="M145" s="14">
        <f t="shared" si="11"/>
        <v>499</v>
      </c>
    </row>
    <row r="146" spans="1:13" hidden="1" x14ac:dyDescent="0.35">
      <c r="A146" s="21" t="s">
        <v>529</v>
      </c>
      <c r="B146" s="31" t="s">
        <v>1832</v>
      </c>
      <c r="C146" s="21" t="s">
        <v>545</v>
      </c>
      <c r="D146" s="34" t="s">
        <v>546</v>
      </c>
      <c r="E146" s="22" t="s">
        <v>547</v>
      </c>
      <c r="F146" s="23">
        <v>0</v>
      </c>
      <c r="G146" s="24">
        <v>1</v>
      </c>
      <c r="H146" s="25">
        <v>186.58</v>
      </c>
      <c r="I146" s="25">
        <v>220</v>
      </c>
      <c r="J146" s="25">
        <v>220</v>
      </c>
      <c r="K146" s="25">
        <f t="shared" si="9"/>
        <v>186.58</v>
      </c>
      <c r="L146" s="25">
        <f t="shared" si="10"/>
        <v>220</v>
      </c>
      <c r="M146" s="14">
        <f t="shared" si="11"/>
        <v>220</v>
      </c>
    </row>
    <row r="147" spans="1:13" hidden="1" x14ac:dyDescent="0.35">
      <c r="A147" s="21" t="s">
        <v>625</v>
      </c>
      <c r="B147" s="31" t="s">
        <v>1834</v>
      </c>
      <c r="C147" s="21" t="s">
        <v>630</v>
      </c>
      <c r="D147" s="34" t="s">
        <v>633</v>
      </c>
      <c r="E147" s="22" t="s">
        <v>634</v>
      </c>
      <c r="F147" s="23">
        <v>0.8</v>
      </c>
      <c r="G147" s="26">
        <v>8</v>
      </c>
      <c r="H147" s="25">
        <v>69.67</v>
      </c>
      <c r="I147" s="25">
        <v>90</v>
      </c>
      <c r="J147" s="25">
        <v>90</v>
      </c>
      <c r="K147" s="25">
        <f t="shared" si="9"/>
        <v>557.36</v>
      </c>
      <c r="L147" s="25">
        <f t="shared" si="10"/>
        <v>720</v>
      </c>
      <c r="M147" s="14">
        <f t="shared" si="11"/>
        <v>720</v>
      </c>
    </row>
    <row r="148" spans="1:13" hidden="1" x14ac:dyDescent="0.35">
      <c r="A148" s="21" t="s">
        <v>625</v>
      </c>
      <c r="B148" s="31" t="s">
        <v>1834</v>
      </c>
      <c r="C148" s="21" t="s">
        <v>630</v>
      </c>
      <c r="D148" s="34" t="s">
        <v>637</v>
      </c>
      <c r="E148" s="22" t="s">
        <v>638</v>
      </c>
      <c r="F148" s="23">
        <v>0.5</v>
      </c>
      <c r="G148" s="26">
        <v>3</v>
      </c>
      <c r="H148" s="25">
        <v>260</v>
      </c>
      <c r="I148" s="25">
        <v>270</v>
      </c>
      <c r="J148" s="25">
        <v>270</v>
      </c>
      <c r="K148" s="25">
        <f t="shared" si="9"/>
        <v>780</v>
      </c>
      <c r="L148" s="25">
        <f t="shared" si="10"/>
        <v>810</v>
      </c>
      <c r="M148" s="14">
        <f t="shared" si="11"/>
        <v>810</v>
      </c>
    </row>
    <row r="149" spans="1:13" hidden="1" x14ac:dyDescent="0.35">
      <c r="A149" s="21" t="s">
        <v>625</v>
      </c>
      <c r="B149" s="31" t="s">
        <v>1834</v>
      </c>
      <c r="C149" s="21" t="s">
        <v>630</v>
      </c>
      <c r="D149" s="34" t="s">
        <v>639</v>
      </c>
      <c r="E149" s="22" t="s">
        <v>640</v>
      </c>
      <c r="F149" s="23">
        <v>0.25</v>
      </c>
      <c r="G149" s="26">
        <v>4</v>
      </c>
      <c r="H149" s="25">
        <v>126.75</v>
      </c>
      <c r="I149" s="25">
        <v>135</v>
      </c>
      <c r="J149" s="25">
        <v>135</v>
      </c>
      <c r="K149" s="25">
        <f t="shared" si="9"/>
        <v>507</v>
      </c>
      <c r="L149" s="25">
        <f t="shared" si="10"/>
        <v>540</v>
      </c>
      <c r="M149" s="14">
        <f t="shared" si="11"/>
        <v>540</v>
      </c>
    </row>
    <row r="150" spans="1:13" hidden="1" x14ac:dyDescent="0.35">
      <c r="A150" s="21" t="s">
        <v>625</v>
      </c>
      <c r="B150" s="31" t="s">
        <v>1834</v>
      </c>
      <c r="C150" s="21" t="s">
        <v>641</v>
      </c>
      <c r="D150" s="34" t="s">
        <v>642</v>
      </c>
      <c r="E150" s="22" t="s">
        <v>643</v>
      </c>
      <c r="F150" s="23">
        <v>0.25</v>
      </c>
      <c r="G150" s="26">
        <v>18</v>
      </c>
      <c r="H150" s="25">
        <v>132.91999999999999</v>
      </c>
      <c r="I150" s="25">
        <v>150</v>
      </c>
      <c r="J150" s="25">
        <v>150</v>
      </c>
      <c r="K150" s="25">
        <f t="shared" si="9"/>
        <v>2392.56</v>
      </c>
      <c r="L150" s="25">
        <f t="shared" si="10"/>
        <v>2700</v>
      </c>
      <c r="M150" s="14">
        <f t="shared" si="11"/>
        <v>2700</v>
      </c>
    </row>
    <row r="151" spans="1:13" hidden="1" x14ac:dyDescent="0.35">
      <c r="A151" s="21" t="s">
        <v>625</v>
      </c>
      <c r="B151" s="31" t="s">
        <v>1834</v>
      </c>
      <c r="C151" s="21" t="s">
        <v>641</v>
      </c>
      <c r="D151" s="34" t="s">
        <v>644</v>
      </c>
      <c r="E151" s="22" t="s">
        <v>645</v>
      </c>
      <c r="F151" s="23">
        <v>0.125</v>
      </c>
      <c r="G151" s="26">
        <v>22</v>
      </c>
      <c r="H151" s="25">
        <v>70</v>
      </c>
      <c r="I151" s="25">
        <v>80</v>
      </c>
      <c r="J151" s="25">
        <v>80</v>
      </c>
      <c r="K151" s="25">
        <f t="shared" si="9"/>
        <v>1540</v>
      </c>
      <c r="L151" s="25">
        <f t="shared" si="10"/>
        <v>1760</v>
      </c>
      <c r="M151" s="14">
        <f t="shared" si="11"/>
        <v>1760</v>
      </c>
    </row>
    <row r="152" spans="1:13" hidden="1" x14ac:dyDescent="0.35">
      <c r="A152" s="21" t="s">
        <v>625</v>
      </c>
      <c r="B152" s="31" t="s">
        <v>1834</v>
      </c>
      <c r="C152" s="21" t="s">
        <v>641</v>
      </c>
      <c r="D152" s="34" t="s">
        <v>648</v>
      </c>
      <c r="E152" s="22" t="s">
        <v>649</v>
      </c>
      <c r="F152" s="23">
        <v>1</v>
      </c>
      <c r="G152" s="26">
        <v>1</v>
      </c>
      <c r="H152" s="25">
        <v>540</v>
      </c>
      <c r="I152" s="25">
        <v>550</v>
      </c>
      <c r="J152" s="25">
        <v>550</v>
      </c>
      <c r="K152" s="25">
        <f t="shared" si="9"/>
        <v>540</v>
      </c>
      <c r="L152" s="25">
        <f t="shared" si="10"/>
        <v>550</v>
      </c>
      <c r="M152" s="14">
        <f t="shared" si="11"/>
        <v>550</v>
      </c>
    </row>
    <row r="153" spans="1:13" hidden="1" x14ac:dyDescent="0.35">
      <c r="A153" s="21" t="s">
        <v>705</v>
      </c>
      <c r="B153" s="21" t="s">
        <v>1859</v>
      </c>
      <c r="C153" s="21" t="s">
        <v>706</v>
      </c>
      <c r="D153" s="34" t="s">
        <v>707</v>
      </c>
      <c r="E153" s="22" t="s">
        <v>708</v>
      </c>
      <c r="F153" s="23">
        <v>0.125</v>
      </c>
      <c r="G153" s="24">
        <v>1</v>
      </c>
      <c r="H153" s="25">
        <v>81.849999999999994</v>
      </c>
      <c r="I153" s="25">
        <v>90</v>
      </c>
      <c r="J153" s="25">
        <v>90</v>
      </c>
      <c r="K153" s="25">
        <f t="shared" si="9"/>
        <v>81.849999999999994</v>
      </c>
      <c r="L153" s="25">
        <f t="shared" si="10"/>
        <v>90</v>
      </c>
      <c r="M153" s="14">
        <f t="shared" si="11"/>
        <v>90</v>
      </c>
    </row>
    <row r="154" spans="1:13" hidden="1" x14ac:dyDescent="0.35">
      <c r="A154" s="21" t="s">
        <v>705</v>
      </c>
      <c r="B154" s="31" t="s">
        <v>1837</v>
      </c>
      <c r="C154" s="21" t="s">
        <v>784</v>
      </c>
      <c r="D154" s="34" t="s">
        <v>785</v>
      </c>
      <c r="E154" s="22" t="s">
        <v>786</v>
      </c>
      <c r="F154" s="23">
        <v>0.1</v>
      </c>
      <c r="G154" s="26">
        <v>5</v>
      </c>
      <c r="H154" s="25">
        <v>109.23</v>
      </c>
      <c r="I154" s="25">
        <v>120</v>
      </c>
      <c r="J154" s="25">
        <v>120</v>
      </c>
      <c r="K154" s="25">
        <f t="shared" ref="K154:K185" si="12">H154*G154</f>
        <v>546.15</v>
      </c>
      <c r="L154" s="25">
        <f t="shared" ref="L154:L185" si="13">I154*G154</f>
        <v>600</v>
      </c>
      <c r="M154" s="14">
        <f t="shared" ref="M154:M185" si="14">J154*G154</f>
        <v>600</v>
      </c>
    </row>
    <row r="155" spans="1:13" hidden="1" x14ac:dyDescent="0.35">
      <c r="A155" s="21" t="s">
        <v>705</v>
      </c>
      <c r="B155" s="31" t="s">
        <v>1837</v>
      </c>
      <c r="C155" s="21" t="s">
        <v>793</v>
      </c>
      <c r="D155" s="34" t="s">
        <v>806</v>
      </c>
      <c r="E155" s="22" t="s">
        <v>807</v>
      </c>
      <c r="F155" s="23">
        <v>0.25</v>
      </c>
      <c r="G155" s="26">
        <v>2</v>
      </c>
      <c r="H155" s="25">
        <v>243.67</v>
      </c>
      <c r="I155" s="25">
        <v>280</v>
      </c>
      <c r="J155" s="25">
        <v>280</v>
      </c>
      <c r="K155" s="25">
        <f t="shared" si="12"/>
        <v>487.34</v>
      </c>
      <c r="L155" s="25">
        <f t="shared" si="13"/>
        <v>560</v>
      </c>
      <c r="M155" s="14">
        <f t="shared" si="14"/>
        <v>560</v>
      </c>
    </row>
    <row r="156" spans="1:13" hidden="1" x14ac:dyDescent="0.35">
      <c r="A156" s="21" t="s">
        <v>705</v>
      </c>
      <c r="B156" s="31" t="s">
        <v>1838</v>
      </c>
      <c r="C156" s="21" t="s">
        <v>819</v>
      </c>
      <c r="D156" s="34" t="s">
        <v>820</v>
      </c>
      <c r="E156" s="22" t="s">
        <v>821</v>
      </c>
      <c r="F156" s="23">
        <v>0.35</v>
      </c>
      <c r="G156" s="26">
        <v>3</v>
      </c>
      <c r="H156" s="25">
        <v>689.81</v>
      </c>
      <c r="I156" s="25">
        <v>750</v>
      </c>
      <c r="J156" s="25">
        <v>750</v>
      </c>
      <c r="K156" s="25">
        <f t="shared" si="12"/>
        <v>2069.4299999999998</v>
      </c>
      <c r="L156" s="25">
        <f t="shared" si="13"/>
        <v>2250</v>
      </c>
      <c r="M156" s="14">
        <f t="shared" si="14"/>
        <v>2250</v>
      </c>
    </row>
    <row r="157" spans="1:13" hidden="1" x14ac:dyDescent="0.35">
      <c r="A157" s="21" t="s">
        <v>705</v>
      </c>
      <c r="B157" s="31" t="s">
        <v>1838</v>
      </c>
      <c r="C157" s="21" t="s">
        <v>819</v>
      </c>
      <c r="D157" s="34" t="s">
        <v>826</v>
      </c>
      <c r="E157" s="22" t="s">
        <v>827</v>
      </c>
      <c r="F157" s="23">
        <v>0.23</v>
      </c>
      <c r="G157" s="26">
        <v>1</v>
      </c>
      <c r="H157" s="25">
        <v>460.27</v>
      </c>
      <c r="I157" s="25">
        <v>500</v>
      </c>
      <c r="J157" s="25">
        <v>500</v>
      </c>
      <c r="K157" s="25">
        <f t="shared" si="12"/>
        <v>460.27</v>
      </c>
      <c r="L157" s="25">
        <f t="shared" si="13"/>
        <v>500</v>
      </c>
      <c r="M157" s="14">
        <f t="shared" si="14"/>
        <v>500</v>
      </c>
    </row>
    <row r="158" spans="1:13" hidden="1" x14ac:dyDescent="0.35">
      <c r="A158" s="21" t="s">
        <v>705</v>
      </c>
      <c r="B158" s="31" t="s">
        <v>1838</v>
      </c>
      <c r="C158" s="21" t="s">
        <v>816</v>
      </c>
      <c r="D158" s="34" t="s">
        <v>817</v>
      </c>
      <c r="E158" s="22" t="s">
        <v>818</v>
      </c>
      <c r="F158" s="23">
        <v>2.5000000000000001E-2</v>
      </c>
      <c r="G158" s="26">
        <v>5</v>
      </c>
      <c r="H158" s="25">
        <v>43.33</v>
      </c>
      <c r="I158" s="25">
        <v>50</v>
      </c>
      <c r="J158" s="25">
        <v>50</v>
      </c>
      <c r="K158" s="25">
        <f t="shared" si="12"/>
        <v>216.64999999999998</v>
      </c>
      <c r="L158" s="25">
        <f t="shared" si="13"/>
        <v>250</v>
      </c>
      <c r="M158" s="14">
        <f t="shared" si="14"/>
        <v>250</v>
      </c>
    </row>
    <row r="159" spans="1:13" hidden="1" x14ac:dyDescent="0.35">
      <c r="A159" s="21" t="s">
        <v>705</v>
      </c>
      <c r="B159" s="31" t="s">
        <v>1838</v>
      </c>
      <c r="C159" s="21" t="s">
        <v>819</v>
      </c>
      <c r="D159" s="34" t="s">
        <v>824</v>
      </c>
      <c r="E159" s="22" t="s">
        <v>825</v>
      </c>
      <c r="F159" s="23">
        <v>1.4999999999999999E-2</v>
      </c>
      <c r="G159" s="26">
        <v>39</v>
      </c>
      <c r="H159" s="25">
        <v>28.81</v>
      </c>
      <c r="I159" s="25">
        <v>30</v>
      </c>
      <c r="J159" s="25">
        <v>30</v>
      </c>
      <c r="K159" s="25">
        <f t="shared" si="12"/>
        <v>1123.5899999999999</v>
      </c>
      <c r="L159" s="25">
        <f t="shared" si="13"/>
        <v>1170</v>
      </c>
      <c r="M159" s="14">
        <f t="shared" si="14"/>
        <v>1170</v>
      </c>
    </row>
    <row r="160" spans="1:13" s="16" customFormat="1" hidden="1" x14ac:dyDescent="0.35">
      <c r="A160" s="27" t="s">
        <v>705</v>
      </c>
      <c r="B160" s="32" t="s">
        <v>843</v>
      </c>
      <c r="C160" s="27" t="s">
        <v>843</v>
      </c>
      <c r="D160" s="35" t="s">
        <v>845</v>
      </c>
      <c r="E160" s="28" t="s">
        <v>846</v>
      </c>
      <c r="F160" s="29">
        <v>1.0999999999999999E-2</v>
      </c>
      <c r="G160" s="24">
        <v>8</v>
      </c>
      <c r="H160" s="30">
        <v>31.25</v>
      </c>
      <c r="I160" s="30">
        <v>50</v>
      </c>
      <c r="J160" s="30">
        <v>50</v>
      </c>
      <c r="K160" s="30">
        <f t="shared" si="12"/>
        <v>250</v>
      </c>
      <c r="L160" s="30">
        <f t="shared" si="13"/>
        <v>400</v>
      </c>
      <c r="M160" s="15">
        <f t="shared" si="14"/>
        <v>400</v>
      </c>
    </row>
    <row r="161" spans="1:13" hidden="1" x14ac:dyDescent="0.35">
      <c r="A161" s="21" t="s">
        <v>705</v>
      </c>
      <c r="B161" s="31" t="s">
        <v>849</v>
      </c>
      <c r="C161" s="21" t="s">
        <v>849</v>
      </c>
      <c r="D161" s="34" t="s">
        <v>850</v>
      </c>
      <c r="E161" s="22" t="s">
        <v>851</v>
      </c>
      <c r="F161" s="23">
        <v>0.56499999999999995</v>
      </c>
      <c r="G161" s="24">
        <v>1</v>
      </c>
      <c r="H161" s="25">
        <v>400</v>
      </c>
      <c r="I161" s="25">
        <v>450</v>
      </c>
      <c r="J161" s="25">
        <v>500</v>
      </c>
      <c r="K161" s="25">
        <f t="shared" si="12"/>
        <v>400</v>
      </c>
      <c r="L161" s="25">
        <f t="shared" si="13"/>
        <v>450</v>
      </c>
      <c r="M161" s="14">
        <f t="shared" si="14"/>
        <v>500</v>
      </c>
    </row>
    <row r="162" spans="1:13" hidden="1" x14ac:dyDescent="0.35">
      <c r="A162" s="21" t="s">
        <v>705</v>
      </c>
      <c r="B162" s="31" t="s">
        <v>849</v>
      </c>
      <c r="C162" s="21" t="s">
        <v>849</v>
      </c>
      <c r="D162" s="34" t="s">
        <v>852</v>
      </c>
      <c r="E162" s="22" t="s">
        <v>853</v>
      </c>
      <c r="F162" s="23">
        <v>0.54</v>
      </c>
      <c r="G162" s="24">
        <v>1</v>
      </c>
      <c r="H162" s="25">
        <v>450</v>
      </c>
      <c r="I162" s="25">
        <v>500</v>
      </c>
      <c r="J162" s="25">
        <v>550</v>
      </c>
      <c r="K162" s="25">
        <f t="shared" si="12"/>
        <v>450</v>
      </c>
      <c r="L162" s="25">
        <f t="shared" si="13"/>
        <v>500</v>
      </c>
      <c r="M162" s="14">
        <f t="shared" si="14"/>
        <v>550</v>
      </c>
    </row>
    <row r="163" spans="1:13" hidden="1" x14ac:dyDescent="0.35">
      <c r="A163" s="21" t="s">
        <v>705</v>
      </c>
      <c r="B163" s="31" t="s">
        <v>849</v>
      </c>
      <c r="C163" s="21" t="s">
        <v>849</v>
      </c>
      <c r="D163" s="34" t="s">
        <v>854</v>
      </c>
      <c r="E163" s="22" t="s">
        <v>855</v>
      </c>
      <c r="F163" s="23">
        <v>0.22700000000000001</v>
      </c>
      <c r="G163" s="24">
        <v>4</v>
      </c>
      <c r="H163" s="25">
        <v>290</v>
      </c>
      <c r="I163" s="25">
        <v>320</v>
      </c>
      <c r="J163" s="25">
        <v>350</v>
      </c>
      <c r="K163" s="25">
        <f t="shared" si="12"/>
        <v>1160</v>
      </c>
      <c r="L163" s="25">
        <f t="shared" si="13"/>
        <v>1280</v>
      </c>
      <c r="M163" s="14">
        <f t="shared" si="14"/>
        <v>1400</v>
      </c>
    </row>
    <row r="164" spans="1:13" hidden="1" x14ac:dyDescent="0.35">
      <c r="A164" s="21" t="s">
        <v>705</v>
      </c>
      <c r="B164" s="31" t="s">
        <v>849</v>
      </c>
      <c r="C164" s="21" t="s">
        <v>849</v>
      </c>
      <c r="D164" s="34" t="s">
        <v>856</v>
      </c>
      <c r="E164" s="22" t="s">
        <v>857</v>
      </c>
      <c r="F164" s="23">
        <v>0.56499999999999995</v>
      </c>
      <c r="G164" s="24">
        <v>2</v>
      </c>
      <c r="H164" s="25">
        <v>450</v>
      </c>
      <c r="I164" s="25">
        <v>500</v>
      </c>
      <c r="J164" s="25">
        <v>550</v>
      </c>
      <c r="K164" s="25">
        <f t="shared" si="12"/>
        <v>900</v>
      </c>
      <c r="L164" s="25">
        <f t="shared" si="13"/>
        <v>1000</v>
      </c>
      <c r="M164" s="14">
        <f t="shared" si="14"/>
        <v>1100</v>
      </c>
    </row>
    <row r="165" spans="1:13" hidden="1" x14ac:dyDescent="0.35">
      <c r="A165" s="21" t="s">
        <v>705</v>
      </c>
      <c r="B165" s="31" t="s">
        <v>626</v>
      </c>
      <c r="C165" s="21" t="s">
        <v>626</v>
      </c>
      <c r="D165" s="34" t="s">
        <v>858</v>
      </c>
      <c r="E165" s="22" t="s">
        <v>859</v>
      </c>
      <c r="F165" s="23">
        <v>0</v>
      </c>
      <c r="G165" s="26">
        <v>1</v>
      </c>
      <c r="H165" s="25">
        <v>90</v>
      </c>
      <c r="I165" s="25">
        <v>120</v>
      </c>
      <c r="J165" s="25">
        <v>120</v>
      </c>
      <c r="K165" s="25">
        <f t="shared" si="12"/>
        <v>90</v>
      </c>
      <c r="L165" s="25">
        <f t="shared" si="13"/>
        <v>120</v>
      </c>
      <c r="M165" s="14">
        <f t="shared" si="14"/>
        <v>120</v>
      </c>
    </row>
    <row r="166" spans="1:13" hidden="1" x14ac:dyDescent="0.35">
      <c r="A166" s="21" t="s">
        <v>705</v>
      </c>
      <c r="B166" s="31" t="s">
        <v>626</v>
      </c>
      <c r="C166" s="21" t="s">
        <v>626</v>
      </c>
      <c r="D166" s="34" t="s">
        <v>860</v>
      </c>
      <c r="E166" s="22" t="s">
        <v>861</v>
      </c>
      <c r="F166" s="23">
        <v>0.2</v>
      </c>
      <c r="G166" s="26">
        <v>4</v>
      </c>
      <c r="H166" s="25">
        <v>149.83000000000001</v>
      </c>
      <c r="I166" s="25">
        <v>180</v>
      </c>
      <c r="J166" s="25">
        <v>180</v>
      </c>
      <c r="K166" s="25">
        <f t="shared" si="12"/>
        <v>599.32000000000005</v>
      </c>
      <c r="L166" s="25">
        <f t="shared" si="13"/>
        <v>720</v>
      </c>
      <c r="M166" s="14">
        <f t="shared" si="14"/>
        <v>720</v>
      </c>
    </row>
    <row r="167" spans="1:13" hidden="1" x14ac:dyDescent="0.35">
      <c r="A167" s="21" t="s">
        <v>705</v>
      </c>
      <c r="B167" s="31" t="s">
        <v>626</v>
      </c>
      <c r="C167" s="21" t="s">
        <v>626</v>
      </c>
      <c r="D167" s="34" t="s">
        <v>862</v>
      </c>
      <c r="E167" s="22" t="s">
        <v>863</v>
      </c>
      <c r="F167" s="23">
        <v>0.5</v>
      </c>
      <c r="G167" s="26">
        <v>3</v>
      </c>
      <c r="H167" s="25">
        <v>320</v>
      </c>
      <c r="I167" s="25">
        <v>360</v>
      </c>
      <c r="J167" s="25">
        <v>380</v>
      </c>
      <c r="K167" s="25">
        <f t="shared" si="12"/>
        <v>960</v>
      </c>
      <c r="L167" s="25">
        <f t="shared" si="13"/>
        <v>1080</v>
      </c>
      <c r="M167" s="14">
        <f t="shared" si="14"/>
        <v>1140</v>
      </c>
    </row>
    <row r="168" spans="1:13" hidden="1" x14ac:dyDescent="0.35">
      <c r="A168" s="21" t="s">
        <v>705</v>
      </c>
      <c r="B168" s="31" t="s">
        <v>626</v>
      </c>
      <c r="C168" s="21" t="s">
        <v>626</v>
      </c>
      <c r="D168" s="34" t="s">
        <v>868</v>
      </c>
      <c r="E168" s="22" t="s">
        <v>869</v>
      </c>
      <c r="F168" s="23">
        <v>0.04</v>
      </c>
      <c r="G168" s="26">
        <v>9</v>
      </c>
      <c r="H168" s="25">
        <v>38</v>
      </c>
      <c r="I168" s="25">
        <v>50</v>
      </c>
      <c r="J168" s="25">
        <v>50</v>
      </c>
      <c r="K168" s="25">
        <f t="shared" si="12"/>
        <v>342</v>
      </c>
      <c r="L168" s="25">
        <f t="shared" si="13"/>
        <v>450</v>
      </c>
      <c r="M168" s="14">
        <f t="shared" si="14"/>
        <v>450</v>
      </c>
    </row>
    <row r="169" spans="1:13" ht="15" hidden="1" customHeight="1" x14ac:dyDescent="0.35">
      <c r="A169" s="21" t="s">
        <v>705</v>
      </c>
      <c r="B169" s="31" t="s">
        <v>420</v>
      </c>
      <c r="C169" s="21" t="s">
        <v>874</v>
      </c>
      <c r="D169" s="34" t="s">
        <v>875</v>
      </c>
      <c r="E169" s="22" t="s">
        <v>876</v>
      </c>
      <c r="F169" s="23">
        <v>0</v>
      </c>
      <c r="G169" s="26">
        <v>5</v>
      </c>
      <c r="H169" s="25">
        <v>18</v>
      </c>
      <c r="I169" s="25">
        <v>20</v>
      </c>
      <c r="J169" s="25">
        <v>20</v>
      </c>
      <c r="K169" s="25">
        <f t="shared" si="12"/>
        <v>90</v>
      </c>
      <c r="L169" s="25">
        <f t="shared" si="13"/>
        <v>100</v>
      </c>
      <c r="M169" s="14">
        <f t="shared" si="14"/>
        <v>100</v>
      </c>
    </row>
    <row r="170" spans="1:13" x14ac:dyDescent="0.35">
      <c r="A170" s="21" t="s">
        <v>705</v>
      </c>
      <c r="B170" s="31" t="s">
        <v>1839</v>
      </c>
      <c r="C170" s="21" t="s">
        <v>877</v>
      </c>
      <c r="D170" s="34" t="s">
        <v>878</v>
      </c>
      <c r="E170" s="22" t="s">
        <v>879</v>
      </c>
      <c r="F170" s="23">
        <v>0</v>
      </c>
      <c r="G170" s="24">
        <v>11</v>
      </c>
      <c r="H170" s="25">
        <v>169</v>
      </c>
      <c r="I170" s="25">
        <v>220</v>
      </c>
      <c r="J170" s="25">
        <v>220</v>
      </c>
      <c r="K170" s="25">
        <f t="shared" si="12"/>
        <v>1859</v>
      </c>
      <c r="L170" s="25">
        <f t="shared" si="13"/>
        <v>2420</v>
      </c>
      <c r="M170" s="14">
        <f t="shared" si="14"/>
        <v>2420</v>
      </c>
    </row>
    <row r="171" spans="1:13" x14ac:dyDescent="0.35">
      <c r="A171" s="21" t="s">
        <v>705</v>
      </c>
      <c r="B171" s="31" t="s">
        <v>1839</v>
      </c>
      <c r="C171" s="21" t="s">
        <v>877</v>
      </c>
      <c r="D171" s="34" t="s">
        <v>880</v>
      </c>
      <c r="E171" s="22" t="s">
        <v>881</v>
      </c>
      <c r="F171" s="23">
        <v>0.22700000000000001</v>
      </c>
      <c r="G171" s="24">
        <v>1</v>
      </c>
      <c r="H171" s="25">
        <v>130</v>
      </c>
      <c r="I171" s="25">
        <v>160</v>
      </c>
      <c r="J171" s="25">
        <v>160</v>
      </c>
      <c r="K171" s="25">
        <f t="shared" si="12"/>
        <v>130</v>
      </c>
      <c r="L171" s="25">
        <f t="shared" si="13"/>
        <v>160</v>
      </c>
      <c r="M171" s="14">
        <f t="shared" si="14"/>
        <v>160</v>
      </c>
    </row>
    <row r="172" spans="1:13" x14ac:dyDescent="0.35">
      <c r="A172" s="21" t="s">
        <v>705</v>
      </c>
      <c r="B172" s="31" t="s">
        <v>1839</v>
      </c>
      <c r="C172" s="21" t="s">
        <v>882</v>
      </c>
      <c r="D172" s="34" t="s">
        <v>887</v>
      </c>
      <c r="E172" s="22" t="s">
        <v>888</v>
      </c>
      <c r="F172" s="23">
        <v>0.4</v>
      </c>
      <c r="G172" s="24">
        <v>2</v>
      </c>
      <c r="H172" s="25">
        <v>155</v>
      </c>
      <c r="I172" s="25">
        <v>200</v>
      </c>
      <c r="J172" s="25">
        <v>200</v>
      </c>
      <c r="K172" s="25">
        <f t="shared" si="12"/>
        <v>310</v>
      </c>
      <c r="L172" s="25">
        <f t="shared" si="13"/>
        <v>400</v>
      </c>
      <c r="M172" s="14">
        <f t="shared" si="14"/>
        <v>400</v>
      </c>
    </row>
    <row r="173" spans="1:13" x14ac:dyDescent="0.35">
      <c r="A173" s="21" t="s">
        <v>705</v>
      </c>
      <c r="B173" s="31" t="s">
        <v>1839</v>
      </c>
      <c r="C173" s="21" t="s">
        <v>882</v>
      </c>
      <c r="D173" s="34" t="s">
        <v>889</v>
      </c>
      <c r="E173" s="22" t="s">
        <v>890</v>
      </c>
      <c r="F173" s="23">
        <v>0.4</v>
      </c>
      <c r="G173" s="24">
        <v>1</v>
      </c>
      <c r="H173" s="25">
        <v>156</v>
      </c>
      <c r="I173" s="25">
        <v>200</v>
      </c>
      <c r="J173" s="25">
        <v>200</v>
      </c>
      <c r="K173" s="25">
        <f t="shared" si="12"/>
        <v>156</v>
      </c>
      <c r="L173" s="25">
        <f t="shared" si="13"/>
        <v>200</v>
      </c>
      <c r="M173" s="14">
        <f t="shared" si="14"/>
        <v>200</v>
      </c>
    </row>
    <row r="174" spans="1:13" x14ac:dyDescent="0.35">
      <c r="A174" s="21" t="s">
        <v>705</v>
      </c>
      <c r="B174" s="31" t="s">
        <v>1839</v>
      </c>
      <c r="C174" s="21" t="s">
        <v>882</v>
      </c>
      <c r="D174" s="34" t="s">
        <v>891</v>
      </c>
      <c r="E174" s="22" t="s">
        <v>892</v>
      </c>
      <c r="F174" s="23">
        <v>0.4</v>
      </c>
      <c r="G174" s="24">
        <v>1</v>
      </c>
      <c r="H174" s="25">
        <v>157.38</v>
      </c>
      <c r="I174" s="25">
        <v>200</v>
      </c>
      <c r="J174" s="25">
        <v>200</v>
      </c>
      <c r="K174" s="25">
        <f t="shared" si="12"/>
        <v>157.38</v>
      </c>
      <c r="L174" s="25">
        <f t="shared" si="13"/>
        <v>200</v>
      </c>
      <c r="M174" s="14">
        <f t="shared" si="14"/>
        <v>200</v>
      </c>
    </row>
    <row r="175" spans="1:13" x14ac:dyDescent="0.35">
      <c r="A175" s="21" t="s">
        <v>705</v>
      </c>
      <c r="B175" s="31" t="s">
        <v>1839</v>
      </c>
      <c r="C175" s="21" t="s">
        <v>882</v>
      </c>
      <c r="D175" s="34" t="s">
        <v>895</v>
      </c>
      <c r="E175" s="22" t="s">
        <v>896</v>
      </c>
      <c r="F175" s="23">
        <v>0.25</v>
      </c>
      <c r="G175" s="24">
        <v>2</v>
      </c>
      <c r="H175" s="25">
        <v>116.5</v>
      </c>
      <c r="I175" s="25">
        <v>150</v>
      </c>
      <c r="J175" s="25">
        <v>150</v>
      </c>
      <c r="K175" s="25">
        <f t="shared" si="12"/>
        <v>233</v>
      </c>
      <c r="L175" s="25">
        <f t="shared" si="13"/>
        <v>300</v>
      </c>
      <c r="M175" s="14">
        <f t="shared" si="14"/>
        <v>300</v>
      </c>
    </row>
    <row r="176" spans="1:13" x14ac:dyDescent="0.35">
      <c r="A176" s="21" t="s">
        <v>705</v>
      </c>
      <c r="B176" s="31" t="s">
        <v>1839</v>
      </c>
      <c r="C176" s="21" t="s">
        <v>882</v>
      </c>
      <c r="D176" s="34" t="s">
        <v>897</v>
      </c>
      <c r="E176" s="22" t="s">
        <v>898</v>
      </c>
      <c r="F176" s="23">
        <v>0.25</v>
      </c>
      <c r="G176" s="24">
        <v>8</v>
      </c>
      <c r="H176" s="25">
        <v>116.5</v>
      </c>
      <c r="I176" s="25">
        <v>150</v>
      </c>
      <c r="J176" s="25">
        <v>150</v>
      </c>
      <c r="K176" s="25">
        <f t="shared" si="12"/>
        <v>932</v>
      </c>
      <c r="L176" s="25">
        <f t="shared" si="13"/>
        <v>1200</v>
      </c>
      <c r="M176" s="14">
        <f t="shared" si="14"/>
        <v>1200</v>
      </c>
    </row>
    <row r="177" spans="1:13" x14ac:dyDescent="0.35">
      <c r="A177" s="21" t="s">
        <v>705</v>
      </c>
      <c r="B177" s="31" t="s">
        <v>1839</v>
      </c>
      <c r="C177" s="21" t="s">
        <v>882</v>
      </c>
      <c r="D177" s="34" t="s">
        <v>899</v>
      </c>
      <c r="E177" s="22" t="s">
        <v>900</v>
      </c>
      <c r="F177" s="23">
        <v>0.25</v>
      </c>
      <c r="G177" s="24">
        <v>2</v>
      </c>
      <c r="H177" s="25">
        <v>116.5</v>
      </c>
      <c r="I177" s="25">
        <v>150</v>
      </c>
      <c r="J177" s="25">
        <v>150</v>
      </c>
      <c r="K177" s="25">
        <f t="shared" si="12"/>
        <v>233</v>
      </c>
      <c r="L177" s="25">
        <f t="shared" si="13"/>
        <v>300</v>
      </c>
      <c r="M177" s="14">
        <f t="shared" si="14"/>
        <v>300</v>
      </c>
    </row>
    <row r="178" spans="1:13" x14ac:dyDescent="0.35">
      <c r="A178" s="21" t="s">
        <v>705</v>
      </c>
      <c r="B178" s="31" t="s">
        <v>1839</v>
      </c>
      <c r="C178" s="21" t="s">
        <v>882</v>
      </c>
      <c r="D178" s="34" t="s">
        <v>901</v>
      </c>
      <c r="E178" s="22" t="s">
        <v>902</v>
      </c>
      <c r="F178" s="23">
        <v>0.25</v>
      </c>
      <c r="G178" s="24">
        <v>3</v>
      </c>
      <c r="H178" s="25">
        <v>164</v>
      </c>
      <c r="I178" s="25">
        <v>210</v>
      </c>
      <c r="J178" s="25">
        <v>210</v>
      </c>
      <c r="K178" s="25">
        <f t="shared" si="12"/>
        <v>492</v>
      </c>
      <c r="L178" s="25">
        <f t="shared" si="13"/>
        <v>630</v>
      </c>
      <c r="M178" s="14">
        <f t="shared" si="14"/>
        <v>630</v>
      </c>
    </row>
    <row r="179" spans="1:13" x14ac:dyDescent="0.35">
      <c r="A179" s="21" t="s">
        <v>705</v>
      </c>
      <c r="B179" s="31" t="s">
        <v>1839</v>
      </c>
      <c r="C179" s="21" t="s">
        <v>903</v>
      </c>
      <c r="D179" s="34" t="s">
        <v>906</v>
      </c>
      <c r="E179" s="22" t="s">
        <v>907</v>
      </c>
      <c r="F179" s="23">
        <v>0.2</v>
      </c>
      <c r="G179" s="24">
        <v>6</v>
      </c>
      <c r="H179" s="25">
        <v>50</v>
      </c>
      <c r="I179" s="25">
        <v>70</v>
      </c>
      <c r="J179" s="25">
        <v>70</v>
      </c>
      <c r="K179" s="25">
        <f t="shared" si="12"/>
        <v>300</v>
      </c>
      <c r="L179" s="25">
        <f t="shared" si="13"/>
        <v>420</v>
      </c>
      <c r="M179" s="14">
        <f t="shared" si="14"/>
        <v>420</v>
      </c>
    </row>
    <row r="180" spans="1:13" x14ac:dyDescent="0.35">
      <c r="A180" s="21" t="s">
        <v>705</v>
      </c>
      <c r="B180" s="31" t="s">
        <v>1839</v>
      </c>
      <c r="C180" s="21" t="s">
        <v>903</v>
      </c>
      <c r="D180" s="34" t="s">
        <v>908</v>
      </c>
      <c r="E180" s="22" t="s">
        <v>909</v>
      </c>
      <c r="F180" s="23">
        <v>0.14000000000000001</v>
      </c>
      <c r="G180" s="24">
        <v>29</v>
      </c>
      <c r="H180" s="25">
        <v>48</v>
      </c>
      <c r="I180" s="25">
        <v>70</v>
      </c>
      <c r="J180" s="25">
        <v>70</v>
      </c>
      <c r="K180" s="25">
        <f t="shared" si="12"/>
        <v>1392</v>
      </c>
      <c r="L180" s="25">
        <f t="shared" si="13"/>
        <v>2030</v>
      </c>
      <c r="M180" s="14">
        <f t="shared" si="14"/>
        <v>2030</v>
      </c>
    </row>
    <row r="181" spans="1:13" x14ac:dyDescent="0.35">
      <c r="A181" s="21" t="s">
        <v>705</v>
      </c>
      <c r="B181" s="31" t="s">
        <v>1839</v>
      </c>
      <c r="C181" s="21" t="s">
        <v>903</v>
      </c>
      <c r="D181" s="34" t="s">
        <v>910</v>
      </c>
      <c r="E181" s="22" t="s">
        <v>911</v>
      </c>
      <c r="F181" s="23">
        <v>0.35</v>
      </c>
      <c r="G181" s="24">
        <v>18</v>
      </c>
      <c r="H181" s="25">
        <v>100</v>
      </c>
      <c r="I181" s="25">
        <v>130</v>
      </c>
      <c r="J181" s="25">
        <v>130</v>
      </c>
      <c r="K181" s="25">
        <f t="shared" si="12"/>
        <v>1800</v>
      </c>
      <c r="L181" s="25">
        <f t="shared" si="13"/>
        <v>2340</v>
      </c>
      <c r="M181" s="14">
        <f t="shared" si="14"/>
        <v>2340</v>
      </c>
    </row>
    <row r="182" spans="1:13" x14ac:dyDescent="0.35">
      <c r="A182" s="21" t="s">
        <v>705</v>
      </c>
      <c r="B182" s="31" t="s">
        <v>1839</v>
      </c>
      <c r="C182" s="21" t="s">
        <v>903</v>
      </c>
      <c r="D182" s="34" t="s">
        <v>912</v>
      </c>
      <c r="E182" s="22" t="s">
        <v>913</v>
      </c>
      <c r="F182" s="23">
        <v>0.35</v>
      </c>
      <c r="G182" s="24">
        <v>5</v>
      </c>
      <c r="H182" s="25">
        <v>73</v>
      </c>
      <c r="I182" s="25">
        <v>90</v>
      </c>
      <c r="J182" s="25">
        <v>90</v>
      </c>
      <c r="K182" s="25">
        <f t="shared" si="12"/>
        <v>365</v>
      </c>
      <c r="L182" s="25">
        <f t="shared" si="13"/>
        <v>450</v>
      </c>
      <c r="M182" s="14">
        <f t="shared" si="14"/>
        <v>450</v>
      </c>
    </row>
    <row r="183" spans="1:13" x14ac:dyDescent="0.35">
      <c r="A183" s="21" t="s">
        <v>705</v>
      </c>
      <c r="B183" s="31" t="s">
        <v>1839</v>
      </c>
      <c r="C183" s="21" t="s">
        <v>903</v>
      </c>
      <c r="D183" s="34">
        <v>1358946338268</v>
      </c>
      <c r="E183" s="22" t="s">
        <v>1904</v>
      </c>
      <c r="F183" s="23">
        <v>0.4</v>
      </c>
      <c r="G183" s="24">
        <v>5</v>
      </c>
      <c r="H183" s="25">
        <v>320</v>
      </c>
      <c r="I183" s="25">
        <v>340</v>
      </c>
      <c r="J183" s="25">
        <v>350</v>
      </c>
      <c r="K183" s="25">
        <f t="shared" si="12"/>
        <v>1600</v>
      </c>
      <c r="L183" s="25">
        <f t="shared" si="13"/>
        <v>1700</v>
      </c>
      <c r="M183" s="14">
        <f t="shared" si="14"/>
        <v>1750</v>
      </c>
    </row>
    <row r="184" spans="1:13" x14ac:dyDescent="0.35">
      <c r="A184" s="21" t="s">
        <v>705</v>
      </c>
      <c r="B184" s="31" t="s">
        <v>1839</v>
      </c>
      <c r="C184" s="21" t="s">
        <v>903</v>
      </c>
      <c r="D184" s="34" t="s">
        <v>914</v>
      </c>
      <c r="E184" s="22" t="s">
        <v>915</v>
      </c>
      <c r="F184" s="23">
        <v>0.35</v>
      </c>
      <c r="G184" s="24">
        <v>4</v>
      </c>
      <c r="H184" s="25">
        <v>76</v>
      </c>
      <c r="I184" s="25">
        <v>100</v>
      </c>
      <c r="J184" s="25">
        <v>100</v>
      </c>
      <c r="K184" s="25">
        <f t="shared" si="12"/>
        <v>304</v>
      </c>
      <c r="L184" s="25">
        <f t="shared" si="13"/>
        <v>400</v>
      </c>
      <c r="M184" s="14">
        <f t="shared" si="14"/>
        <v>400</v>
      </c>
    </row>
    <row r="185" spans="1:13" hidden="1" x14ac:dyDescent="0.35">
      <c r="A185" s="21" t="s">
        <v>938</v>
      </c>
      <c r="B185" s="21" t="s">
        <v>1841</v>
      </c>
      <c r="C185" s="21" t="s">
        <v>939</v>
      </c>
      <c r="D185" s="34" t="s">
        <v>940</v>
      </c>
      <c r="E185" s="22" t="s">
        <v>941</v>
      </c>
      <c r="F185" s="23">
        <v>0</v>
      </c>
      <c r="G185" s="26">
        <v>15</v>
      </c>
      <c r="H185" s="25">
        <v>40</v>
      </c>
      <c r="I185" s="25">
        <v>50</v>
      </c>
      <c r="J185" s="25">
        <v>50</v>
      </c>
      <c r="K185" s="25">
        <f t="shared" si="12"/>
        <v>600</v>
      </c>
      <c r="L185" s="25">
        <f t="shared" si="13"/>
        <v>750</v>
      </c>
      <c r="M185" s="14">
        <f t="shared" si="14"/>
        <v>750</v>
      </c>
    </row>
    <row r="186" spans="1:13" hidden="1" x14ac:dyDescent="0.35">
      <c r="A186" s="21" t="s">
        <v>938</v>
      </c>
      <c r="B186" s="21" t="s">
        <v>1841</v>
      </c>
      <c r="C186" s="21" t="s">
        <v>942</v>
      </c>
      <c r="D186" s="34" t="s">
        <v>945</v>
      </c>
      <c r="E186" s="22" t="s">
        <v>946</v>
      </c>
      <c r="F186" s="23">
        <v>0</v>
      </c>
      <c r="G186" s="26">
        <v>9</v>
      </c>
      <c r="H186" s="25">
        <v>40</v>
      </c>
      <c r="I186" s="25">
        <v>50</v>
      </c>
      <c r="J186" s="25">
        <v>50</v>
      </c>
      <c r="K186" s="25">
        <f t="shared" ref="K186:K210" si="15">H186*G186</f>
        <v>360</v>
      </c>
      <c r="L186" s="25">
        <f t="shared" ref="L186:L210" si="16">I186*G186</f>
        <v>450</v>
      </c>
      <c r="M186" s="14">
        <f t="shared" ref="M186:M210" si="17">J186*G186</f>
        <v>450</v>
      </c>
    </row>
    <row r="187" spans="1:13" hidden="1" x14ac:dyDescent="0.35">
      <c r="A187" s="21" t="s">
        <v>938</v>
      </c>
      <c r="B187" s="21" t="s">
        <v>1841</v>
      </c>
      <c r="C187" s="21" t="s">
        <v>942</v>
      </c>
      <c r="D187" s="34" t="s">
        <v>953</v>
      </c>
      <c r="E187" s="22" t="s">
        <v>954</v>
      </c>
      <c r="F187" s="23">
        <v>0</v>
      </c>
      <c r="G187" s="26">
        <v>3</v>
      </c>
      <c r="H187" s="25">
        <v>63</v>
      </c>
      <c r="I187" s="25">
        <v>80</v>
      </c>
      <c r="J187" s="25">
        <v>80</v>
      </c>
      <c r="K187" s="25">
        <f t="shared" si="15"/>
        <v>189</v>
      </c>
      <c r="L187" s="25">
        <f t="shared" si="16"/>
        <v>240</v>
      </c>
      <c r="M187" s="14">
        <f t="shared" si="17"/>
        <v>240</v>
      </c>
    </row>
    <row r="188" spans="1:13" hidden="1" x14ac:dyDescent="0.35">
      <c r="A188" s="21" t="s">
        <v>938</v>
      </c>
      <c r="B188" s="21" t="s">
        <v>1841</v>
      </c>
      <c r="C188" s="21" t="s">
        <v>942</v>
      </c>
      <c r="D188" s="34" t="s">
        <v>957</v>
      </c>
      <c r="E188" s="22" t="s">
        <v>958</v>
      </c>
      <c r="F188" s="23">
        <v>0</v>
      </c>
      <c r="G188" s="26">
        <v>36</v>
      </c>
      <c r="H188" s="25">
        <v>41</v>
      </c>
      <c r="I188" s="25">
        <v>50</v>
      </c>
      <c r="J188" s="25">
        <v>50</v>
      </c>
      <c r="K188" s="25">
        <f t="shared" si="15"/>
        <v>1476</v>
      </c>
      <c r="L188" s="25">
        <f t="shared" si="16"/>
        <v>1800</v>
      </c>
      <c r="M188" s="14">
        <f t="shared" si="17"/>
        <v>1800</v>
      </c>
    </row>
    <row r="189" spans="1:13" hidden="1" x14ac:dyDescent="0.35">
      <c r="A189" s="21" t="s">
        <v>938</v>
      </c>
      <c r="B189" s="21" t="s">
        <v>1841</v>
      </c>
      <c r="C189" s="21" t="s">
        <v>942</v>
      </c>
      <c r="D189" s="34" t="s">
        <v>965</v>
      </c>
      <c r="E189" s="22" t="s">
        <v>966</v>
      </c>
      <c r="F189" s="23">
        <v>0</v>
      </c>
      <c r="G189" s="26">
        <v>16</v>
      </c>
      <c r="H189" s="25">
        <v>63</v>
      </c>
      <c r="I189" s="25">
        <v>80</v>
      </c>
      <c r="J189" s="25">
        <v>80</v>
      </c>
      <c r="K189" s="25">
        <f t="shared" si="15"/>
        <v>1008</v>
      </c>
      <c r="L189" s="25">
        <f t="shared" si="16"/>
        <v>1280</v>
      </c>
      <c r="M189" s="14">
        <f t="shared" si="17"/>
        <v>1280</v>
      </c>
    </row>
    <row r="190" spans="1:13" hidden="1" x14ac:dyDescent="0.35">
      <c r="A190" s="21" t="s">
        <v>938</v>
      </c>
      <c r="B190" s="21" t="s">
        <v>1841</v>
      </c>
      <c r="C190" s="21" t="s">
        <v>942</v>
      </c>
      <c r="D190" s="34" t="s">
        <v>967</v>
      </c>
      <c r="E190" s="22" t="s">
        <v>968</v>
      </c>
      <c r="F190" s="23">
        <v>0</v>
      </c>
      <c r="G190" s="26">
        <v>14</v>
      </c>
      <c r="H190" s="25">
        <v>40</v>
      </c>
      <c r="I190" s="25">
        <v>50</v>
      </c>
      <c r="J190" s="25">
        <v>50</v>
      </c>
      <c r="K190" s="25">
        <f t="shared" si="15"/>
        <v>560</v>
      </c>
      <c r="L190" s="25">
        <f t="shared" si="16"/>
        <v>700</v>
      </c>
      <c r="M190" s="14">
        <f t="shared" si="17"/>
        <v>700</v>
      </c>
    </row>
    <row r="191" spans="1:13" hidden="1" x14ac:dyDescent="0.35">
      <c r="A191" s="21" t="s">
        <v>938</v>
      </c>
      <c r="B191" s="21" t="s">
        <v>1841</v>
      </c>
      <c r="C191" s="21" t="s">
        <v>969</v>
      </c>
      <c r="D191" s="34" t="s">
        <v>974</v>
      </c>
      <c r="E191" s="22" t="s">
        <v>975</v>
      </c>
      <c r="F191" s="23">
        <v>0</v>
      </c>
      <c r="G191" s="26">
        <v>12</v>
      </c>
      <c r="H191" s="25">
        <v>63</v>
      </c>
      <c r="I191" s="25">
        <v>80</v>
      </c>
      <c r="J191" s="25">
        <v>80</v>
      </c>
      <c r="K191" s="25">
        <f t="shared" si="15"/>
        <v>756</v>
      </c>
      <c r="L191" s="25">
        <f t="shared" si="16"/>
        <v>960</v>
      </c>
      <c r="M191" s="14">
        <f t="shared" si="17"/>
        <v>960</v>
      </c>
    </row>
    <row r="192" spans="1:13" hidden="1" x14ac:dyDescent="0.35">
      <c r="A192" s="21" t="s">
        <v>938</v>
      </c>
      <c r="B192" s="31" t="s">
        <v>989</v>
      </c>
      <c r="C192" s="21" t="s">
        <v>989</v>
      </c>
      <c r="D192" s="34" t="s">
        <v>992</v>
      </c>
      <c r="E192" s="22" t="s">
        <v>993</v>
      </c>
      <c r="F192" s="23">
        <v>0</v>
      </c>
      <c r="G192" s="26">
        <v>1</v>
      </c>
      <c r="H192" s="25">
        <v>170</v>
      </c>
      <c r="I192" s="25">
        <v>200</v>
      </c>
      <c r="J192" s="25">
        <v>200</v>
      </c>
      <c r="K192" s="25">
        <f t="shared" si="15"/>
        <v>170</v>
      </c>
      <c r="L192" s="25">
        <f t="shared" si="16"/>
        <v>200</v>
      </c>
      <c r="M192" s="14">
        <f t="shared" si="17"/>
        <v>200</v>
      </c>
    </row>
    <row r="193" spans="1:13" ht="15" hidden="1" customHeight="1" x14ac:dyDescent="0.35">
      <c r="A193" s="21" t="s">
        <v>938</v>
      </c>
      <c r="B193" s="31" t="s">
        <v>1842</v>
      </c>
      <c r="C193" s="21" t="s">
        <v>997</v>
      </c>
      <c r="D193" s="34" t="s">
        <v>1002</v>
      </c>
      <c r="E193" s="22" t="s">
        <v>1003</v>
      </c>
      <c r="F193" s="23">
        <v>0.66</v>
      </c>
      <c r="G193" s="24">
        <v>1</v>
      </c>
      <c r="H193" s="25">
        <v>570</v>
      </c>
      <c r="I193" s="25">
        <v>700</v>
      </c>
      <c r="J193" s="25">
        <v>800</v>
      </c>
      <c r="K193" s="25">
        <f t="shared" si="15"/>
        <v>570</v>
      </c>
      <c r="L193" s="25">
        <f t="shared" si="16"/>
        <v>700</v>
      </c>
      <c r="M193" s="14">
        <f t="shared" si="17"/>
        <v>800</v>
      </c>
    </row>
    <row r="194" spans="1:13" hidden="1" x14ac:dyDescent="0.35">
      <c r="A194" s="21" t="s">
        <v>938</v>
      </c>
      <c r="B194" s="31" t="s">
        <v>1842</v>
      </c>
      <c r="C194" s="21" t="s">
        <v>997</v>
      </c>
      <c r="D194" s="34" t="s">
        <v>1004</v>
      </c>
      <c r="E194" s="22" t="s">
        <v>1005</v>
      </c>
      <c r="F194" s="23">
        <v>0.66</v>
      </c>
      <c r="G194" s="24">
        <v>1</v>
      </c>
      <c r="H194" s="25">
        <v>570</v>
      </c>
      <c r="I194" s="25">
        <v>700</v>
      </c>
      <c r="J194" s="25">
        <v>800</v>
      </c>
      <c r="K194" s="25">
        <f t="shared" si="15"/>
        <v>570</v>
      </c>
      <c r="L194" s="25">
        <f t="shared" si="16"/>
        <v>700</v>
      </c>
      <c r="M194" s="14">
        <f t="shared" si="17"/>
        <v>800</v>
      </c>
    </row>
    <row r="195" spans="1:13" hidden="1" x14ac:dyDescent="0.35">
      <c r="A195" s="21" t="s">
        <v>938</v>
      </c>
      <c r="B195" s="31" t="s">
        <v>1842</v>
      </c>
      <c r="C195" s="21" t="s">
        <v>994</v>
      </c>
      <c r="D195" s="34" t="s">
        <v>995</v>
      </c>
      <c r="E195" s="22" t="s">
        <v>996</v>
      </c>
      <c r="F195" s="23">
        <v>0</v>
      </c>
      <c r="G195" s="24">
        <v>2</v>
      </c>
      <c r="H195" s="25">
        <v>83</v>
      </c>
      <c r="I195" s="25">
        <v>100</v>
      </c>
      <c r="J195" s="25">
        <v>100</v>
      </c>
      <c r="K195" s="25">
        <f t="shared" si="15"/>
        <v>166</v>
      </c>
      <c r="L195" s="25">
        <f t="shared" si="16"/>
        <v>200</v>
      </c>
      <c r="M195" s="14">
        <f t="shared" si="17"/>
        <v>200</v>
      </c>
    </row>
    <row r="196" spans="1:13" hidden="1" x14ac:dyDescent="0.35">
      <c r="A196" s="21" t="s">
        <v>938</v>
      </c>
      <c r="B196" s="31" t="s">
        <v>1842</v>
      </c>
      <c r="C196" s="21" t="s">
        <v>1006</v>
      </c>
      <c r="D196" s="34" t="s">
        <v>1007</v>
      </c>
      <c r="E196" s="22" t="s">
        <v>1008</v>
      </c>
      <c r="F196" s="23">
        <v>0.5</v>
      </c>
      <c r="G196" s="24">
        <v>1</v>
      </c>
      <c r="H196" s="25">
        <v>192.5</v>
      </c>
      <c r="I196" s="25">
        <v>250</v>
      </c>
      <c r="J196" s="25">
        <v>300</v>
      </c>
      <c r="K196" s="25">
        <f t="shared" si="15"/>
        <v>192.5</v>
      </c>
      <c r="L196" s="25">
        <f t="shared" si="16"/>
        <v>250</v>
      </c>
      <c r="M196" s="14">
        <f t="shared" si="17"/>
        <v>300</v>
      </c>
    </row>
    <row r="197" spans="1:13" hidden="1" x14ac:dyDescent="0.35">
      <c r="A197" s="21" t="s">
        <v>938</v>
      </c>
      <c r="B197" s="31" t="s">
        <v>1842</v>
      </c>
      <c r="C197" s="21" t="s">
        <v>997</v>
      </c>
      <c r="D197" s="34" t="s">
        <v>998</v>
      </c>
      <c r="E197" s="22" t="s">
        <v>999</v>
      </c>
      <c r="F197" s="23">
        <v>0.15</v>
      </c>
      <c r="G197" s="24">
        <v>2</v>
      </c>
      <c r="H197" s="25">
        <v>184.09</v>
      </c>
      <c r="I197" s="25">
        <v>250</v>
      </c>
      <c r="J197" s="25">
        <v>350</v>
      </c>
      <c r="K197" s="25">
        <f t="shared" si="15"/>
        <v>368.18</v>
      </c>
      <c r="L197" s="25">
        <f t="shared" si="16"/>
        <v>500</v>
      </c>
      <c r="M197" s="14">
        <f t="shared" si="17"/>
        <v>700</v>
      </c>
    </row>
    <row r="198" spans="1:13" hidden="1" x14ac:dyDescent="0.35">
      <c r="A198" s="21" t="s">
        <v>938</v>
      </c>
      <c r="B198" s="31" t="s">
        <v>1842</v>
      </c>
      <c r="C198" s="21" t="s">
        <v>997</v>
      </c>
      <c r="D198" s="34" t="s">
        <v>1000</v>
      </c>
      <c r="E198" s="22" t="s">
        <v>1001</v>
      </c>
      <c r="F198" s="23">
        <v>0.1</v>
      </c>
      <c r="G198" s="24">
        <v>6</v>
      </c>
      <c r="H198" s="25">
        <v>147.25</v>
      </c>
      <c r="I198" s="25">
        <v>200</v>
      </c>
      <c r="J198" s="25">
        <v>280</v>
      </c>
      <c r="K198" s="25">
        <f t="shared" si="15"/>
        <v>883.5</v>
      </c>
      <c r="L198" s="25">
        <f t="shared" si="16"/>
        <v>1200</v>
      </c>
      <c r="M198" s="14">
        <f t="shared" si="17"/>
        <v>1680</v>
      </c>
    </row>
    <row r="199" spans="1:13" hidden="1" x14ac:dyDescent="0.35">
      <c r="A199" s="21" t="s">
        <v>938</v>
      </c>
      <c r="B199" s="31" t="s">
        <v>1842</v>
      </c>
      <c r="C199" s="21" t="s">
        <v>1009</v>
      </c>
      <c r="D199" s="34" t="s">
        <v>1010</v>
      </c>
      <c r="E199" s="22" t="s">
        <v>1011</v>
      </c>
      <c r="F199" s="23">
        <v>0</v>
      </c>
      <c r="G199" s="24">
        <v>20</v>
      </c>
      <c r="H199" s="25">
        <v>40.299999999999997</v>
      </c>
      <c r="I199" s="25">
        <v>50</v>
      </c>
      <c r="J199" s="25">
        <v>50</v>
      </c>
      <c r="K199" s="25">
        <f t="shared" si="15"/>
        <v>806</v>
      </c>
      <c r="L199" s="25">
        <f t="shared" si="16"/>
        <v>1000</v>
      </c>
      <c r="M199" s="14">
        <f t="shared" si="17"/>
        <v>1000</v>
      </c>
    </row>
    <row r="200" spans="1:13" hidden="1" x14ac:dyDescent="0.35">
      <c r="A200" s="21" t="s">
        <v>938</v>
      </c>
      <c r="B200" s="31" t="s">
        <v>1843</v>
      </c>
      <c r="C200" s="21" t="s">
        <v>1021</v>
      </c>
      <c r="D200" s="34" t="s">
        <v>1024</v>
      </c>
      <c r="E200" s="22" t="s">
        <v>1025</v>
      </c>
      <c r="F200" s="23">
        <v>0</v>
      </c>
      <c r="G200" s="26">
        <v>2</v>
      </c>
      <c r="H200" s="25">
        <v>270</v>
      </c>
      <c r="I200" s="25">
        <v>310</v>
      </c>
      <c r="J200" s="25">
        <v>310</v>
      </c>
      <c r="K200" s="25">
        <f t="shared" si="15"/>
        <v>540</v>
      </c>
      <c r="L200" s="25">
        <f t="shared" si="16"/>
        <v>620</v>
      </c>
      <c r="M200" s="14">
        <f t="shared" si="17"/>
        <v>620</v>
      </c>
    </row>
    <row r="201" spans="1:13" hidden="1" x14ac:dyDescent="0.35">
      <c r="A201" s="21" t="s">
        <v>938</v>
      </c>
      <c r="B201" s="31" t="s">
        <v>1843</v>
      </c>
      <c r="C201" s="21" t="s">
        <v>1021</v>
      </c>
      <c r="D201" s="34" t="s">
        <v>1028</v>
      </c>
      <c r="E201" s="22" t="s">
        <v>1029</v>
      </c>
      <c r="F201" s="23">
        <v>0</v>
      </c>
      <c r="G201" s="26">
        <v>6</v>
      </c>
      <c r="H201" s="25">
        <v>50</v>
      </c>
      <c r="I201" s="25">
        <v>60</v>
      </c>
      <c r="J201" s="25">
        <v>60</v>
      </c>
      <c r="K201" s="25">
        <f t="shared" si="15"/>
        <v>300</v>
      </c>
      <c r="L201" s="25">
        <f t="shared" si="16"/>
        <v>360</v>
      </c>
      <c r="M201" s="14">
        <f t="shared" si="17"/>
        <v>360</v>
      </c>
    </row>
    <row r="202" spans="1:13" hidden="1" x14ac:dyDescent="0.35">
      <c r="A202" s="21" t="s">
        <v>938</v>
      </c>
      <c r="B202" s="31" t="s">
        <v>1843</v>
      </c>
      <c r="C202" s="21" t="s">
        <v>1021</v>
      </c>
      <c r="D202" s="34" t="s">
        <v>1032</v>
      </c>
      <c r="E202" s="22" t="s">
        <v>1033</v>
      </c>
      <c r="F202" s="23">
        <v>0</v>
      </c>
      <c r="G202" s="26">
        <v>1</v>
      </c>
      <c r="H202" s="25">
        <v>195</v>
      </c>
      <c r="I202" s="25">
        <v>230</v>
      </c>
      <c r="J202" s="25">
        <v>230</v>
      </c>
      <c r="K202" s="25">
        <f t="shared" si="15"/>
        <v>195</v>
      </c>
      <c r="L202" s="25">
        <f t="shared" si="16"/>
        <v>230</v>
      </c>
      <c r="M202" s="14">
        <f t="shared" si="17"/>
        <v>230</v>
      </c>
    </row>
    <row r="203" spans="1:13" hidden="1" x14ac:dyDescent="0.35">
      <c r="A203" s="21" t="s">
        <v>938</v>
      </c>
      <c r="B203" s="31" t="s">
        <v>1843</v>
      </c>
      <c r="C203" s="21" t="s">
        <v>1021</v>
      </c>
      <c r="D203" s="34" t="s">
        <v>1034</v>
      </c>
      <c r="E203" s="22" t="s">
        <v>1035</v>
      </c>
      <c r="F203" s="23">
        <v>0</v>
      </c>
      <c r="G203" s="26">
        <v>3</v>
      </c>
      <c r="H203" s="25">
        <v>205</v>
      </c>
      <c r="I203" s="25">
        <v>240</v>
      </c>
      <c r="J203" s="25">
        <v>240</v>
      </c>
      <c r="K203" s="25">
        <f t="shared" si="15"/>
        <v>615</v>
      </c>
      <c r="L203" s="25">
        <f t="shared" si="16"/>
        <v>720</v>
      </c>
      <c r="M203" s="14">
        <f t="shared" si="17"/>
        <v>720</v>
      </c>
    </row>
    <row r="204" spans="1:13" hidden="1" x14ac:dyDescent="0.35">
      <c r="A204" s="21" t="s">
        <v>938</v>
      </c>
      <c r="B204" s="31" t="s">
        <v>1843</v>
      </c>
      <c r="C204" s="21" t="s">
        <v>1021</v>
      </c>
      <c r="D204" s="34" t="s">
        <v>1036</v>
      </c>
      <c r="E204" s="22" t="s">
        <v>1037</v>
      </c>
      <c r="F204" s="23">
        <v>0</v>
      </c>
      <c r="G204" s="26">
        <v>34</v>
      </c>
      <c r="H204" s="25">
        <v>95</v>
      </c>
      <c r="I204" s="25">
        <v>120</v>
      </c>
      <c r="J204" s="25">
        <v>130</v>
      </c>
      <c r="K204" s="25">
        <f t="shared" si="15"/>
        <v>3230</v>
      </c>
      <c r="L204" s="25">
        <f t="shared" si="16"/>
        <v>4080</v>
      </c>
      <c r="M204" s="14">
        <f t="shared" si="17"/>
        <v>4420</v>
      </c>
    </row>
    <row r="205" spans="1:13" ht="15" hidden="1" customHeight="1" x14ac:dyDescent="0.35">
      <c r="A205" s="21" t="s">
        <v>938</v>
      </c>
      <c r="B205" s="31" t="s">
        <v>1038</v>
      </c>
      <c r="C205" s="21" t="s">
        <v>1038</v>
      </c>
      <c r="D205" s="34" t="s">
        <v>1039</v>
      </c>
      <c r="E205" s="22" t="s">
        <v>1040</v>
      </c>
      <c r="F205" s="23">
        <v>2.8000000000000001E-2</v>
      </c>
      <c r="G205" s="26">
        <v>1</v>
      </c>
      <c r="H205" s="25">
        <v>255</v>
      </c>
      <c r="I205" s="25">
        <v>300</v>
      </c>
      <c r="J205" s="25">
        <v>360</v>
      </c>
      <c r="K205" s="25">
        <f t="shared" si="15"/>
        <v>255</v>
      </c>
      <c r="L205" s="25">
        <f t="shared" si="16"/>
        <v>300</v>
      </c>
      <c r="M205" s="14">
        <f t="shared" si="17"/>
        <v>360</v>
      </c>
    </row>
    <row r="206" spans="1:13" hidden="1" x14ac:dyDescent="0.35">
      <c r="A206" s="21" t="s">
        <v>938</v>
      </c>
      <c r="B206" s="31" t="s">
        <v>1038</v>
      </c>
      <c r="C206" s="21" t="s">
        <v>1038</v>
      </c>
      <c r="D206" s="34" t="s">
        <v>1041</v>
      </c>
      <c r="E206" s="22" t="s">
        <v>1042</v>
      </c>
      <c r="F206" s="23">
        <v>2.8000000000000001E-2</v>
      </c>
      <c r="G206" s="26">
        <v>2</v>
      </c>
      <c r="H206" s="25">
        <v>250</v>
      </c>
      <c r="I206" s="25">
        <v>320</v>
      </c>
      <c r="J206" s="25">
        <v>360</v>
      </c>
      <c r="K206" s="25">
        <f t="shared" si="15"/>
        <v>500</v>
      </c>
      <c r="L206" s="25">
        <f t="shared" si="16"/>
        <v>640</v>
      </c>
      <c r="M206" s="14">
        <f t="shared" si="17"/>
        <v>720</v>
      </c>
    </row>
    <row r="207" spans="1:13" hidden="1" x14ac:dyDescent="0.35">
      <c r="A207" s="21" t="s">
        <v>938</v>
      </c>
      <c r="B207" s="31" t="s">
        <v>1052</v>
      </c>
      <c r="C207" s="21" t="s">
        <v>1052</v>
      </c>
      <c r="D207" s="34" t="s">
        <v>1053</v>
      </c>
      <c r="E207" s="22" t="s">
        <v>1054</v>
      </c>
      <c r="F207" s="23">
        <v>0</v>
      </c>
      <c r="G207" s="26">
        <v>1</v>
      </c>
      <c r="H207" s="25">
        <v>173</v>
      </c>
      <c r="I207" s="25">
        <v>190</v>
      </c>
      <c r="J207" s="25">
        <v>200</v>
      </c>
      <c r="K207" s="25">
        <f t="shared" si="15"/>
        <v>173</v>
      </c>
      <c r="L207" s="25">
        <f t="shared" si="16"/>
        <v>190</v>
      </c>
      <c r="M207" s="14">
        <f t="shared" si="17"/>
        <v>200</v>
      </c>
    </row>
    <row r="208" spans="1:13" hidden="1" x14ac:dyDescent="0.35">
      <c r="A208" s="21" t="s">
        <v>938</v>
      </c>
      <c r="B208" s="31" t="s">
        <v>1052</v>
      </c>
      <c r="C208" s="21" t="s">
        <v>1052</v>
      </c>
      <c r="D208" s="34" t="s">
        <v>1055</v>
      </c>
      <c r="E208" s="22" t="s">
        <v>1056</v>
      </c>
      <c r="F208" s="23">
        <v>0</v>
      </c>
      <c r="G208" s="26">
        <v>1</v>
      </c>
      <c r="H208" s="25">
        <v>200</v>
      </c>
      <c r="I208" s="25">
        <v>220</v>
      </c>
      <c r="J208" s="25">
        <v>230</v>
      </c>
      <c r="K208" s="25">
        <f t="shared" si="15"/>
        <v>200</v>
      </c>
      <c r="L208" s="25">
        <f t="shared" si="16"/>
        <v>220</v>
      </c>
      <c r="M208" s="14">
        <f t="shared" si="17"/>
        <v>230</v>
      </c>
    </row>
    <row r="209" spans="1:13" hidden="1" x14ac:dyDescent="0.35">
      <c r="A209" s="21" t="s">
        <v>938</v>
      </c>
      <c r="B209" s="31" t="s">
        <v>1057</v>
      </c>
      <c r="C209" s="21" t="s">
        <v>1057</v>
      </c>
      <c r="D209" s="34" t="s">
        <v>1059</v>
      </c>
      <c r="E209" s="22" t="s">
        <v>1058</v>
      </c>
      <c r="F209" s="23">
        <v>0</v>
      </c>
      <c r="G209" s="26">
        <v>1</v>
      </c>
      <c r="H209" s="25">
        <v>180</v>
      </c>
      <c r="I209" s="25">
        <v>240</v>
      </c>
      <c r="J209" s="25">
        <v>240</v>
      </c>
      <c r="K209" s="25">
        <f t="shared" si="15"/>
        <v>180</v>
      </c>
      <c r="L209" s="25">
        <f t="shared" si="16"/>
        <v>240</v>
      </c>
      <c r="M209" s="14">
        <f t="shared" si="17"/>
        <v>240</v>
      </c>
    </row>
    <row r="210" spans="1:13" ht="15" hidden="1" customHeight="1" x14ac:dyDescent="0.35">
      <c r="A210" s="21" t="s">
        <v>938</v>
      </c>
      <c r="B210" s="31" t="s">
        <v>1844</v>
      </c>
      <c r="C210" s="21" t="s">
        <v>1063</v>
      </c>
      <c r="D210" s="34" t="s">
        <v>1064</v>
      </c>
      <c r="E210" s="22" t="s">
        <v>280</v>
      </c>
      <c r="F210" s="23">
        <v>0.1</v>
      </c>
      <c r="G210" s="26">
        <v>2</v>
      </c>
      <c r="H210" s="25">
        <v>125</v>
      </c>
      <c r="I210" s="25">
        <v>140</v>
      </c>
      <c r="J210" s="25">
        <v>150</v>
      </c>
      <c r="K210" s="25">
        <f t="shared" si="15"/>
        <v>250</v>
      </c>
      <c r="L210" s="25">
        <f t="shared" si="16"/>
        <v>280</v>
      </c>
      <c r="M210" s="14">
        <f t="shared" si="17"/>
        <v>300</v>
      </c>
    </row>
    <row r="211" spans="1:13" hidden="1" x14ac:dyDescent="0.35">
      <c r="A211" s="21" t="s">
        <v>938</v>
      </c>
      <c r="B211" s="31" t="s">
        <v>1844</v>
      </c>
      <c r="C211" s="21" t="s">
        <v>1063</v>
      </c>
      <c r="D211" s="34" t="s">
        <v>1093</v>
      </c>
      <c r="E211" s="22" t="s">
        <v>1094</v>
      </c>
      <c r="F211" s="23">
        <v>0.1</v>
      </c>
      <c r="G211" s="26">
        <v>2</v>
      </c>
      <c r="H211" s="25">
        <v>201</v>
      </c>
      <c r="I211" s="25">
        <v>250</v>
      </c>
      <c r="J211" s="25">
        <v>260</v>
      </c>
      <c r="K211" s="25">
        <f t="shared" ref="K211" si="18">H211*G211</f>
        <v>402</v>
      </c>
      <c r="L211" s="25">
        <f t="shared" ref="L211" si="19">I211*G211</f>
        <v>500</v>
      </c>
      <c r="M211" s="14">
        <f t="shared" ref="M211" si="20">J211*G211</f>
        <v>520</v>
      </c>
    </row>
    <row r="212" spans="1:13" hidden="1" x14ac:dyDescent="0.35">
      <c r="A212" s="21" t="s">
        <v>705</v>
      </c>
      <c r="B212" s="31" t="s">
        <v>1120</v>
      </c>
      <c r="C212" s="21" t="s">
        <v>831</v>
      </c>
      <c r="D212" s="34" t="s">
        <v>832</v>
      </c>
      <c r="E212" s="22" t="s">
        <v>833</v>
      </c>
      <c r="F212" s="23">
        <v>4.2999999999999997E-2</v>
      </c>
      <c r="G212" s="26">
        <v>1</v>
      </c>
      <c r="H212" s="25">
        <v>131.1</v>
      </c>
      <c r="I212" s="25">
        <v>145</v>
      </c>
      <c r="J212" s="25">
        <v>150</v>
      </c>
      <c r="K212" s="25">
        <f t="shared" ref="K212:K243" si="21">H212*G212</f>
        <v>131.1</v>
      </c>
      <c r="L212" s="25">
        <f t="shared" ref="L212:L243" si="22">I212*G212</f>
        <v>145</v>
      </c>
      <c r="M212" s="14">
        <f t="shared" ref="M212:M243" si="23">J212*G212</f>
        <v>150</v>
      </c>
    </row>
    <row r="213" spans="1:13" hidden="1" x14ac:dyDescent="0.35">
      <c r="A213" s="21" t="s">
        <v>705</v>
      </c>
      <c r="B213" s="31" t="s">
        <v>1120</v>
      </c>
      <c r="C213" s="21" t="s">
        <v>840</v>
      </c>
      <c r="D213" s="34" t="s">
        <v>841</v>
      </c>
      <c r="E213" s="22" t="s">
        <v>842</v>
      </c>
      <c r="F213" s="23">
        <v>4.2999999999999997E-2</v>
      </c>
      <c r="G213" s="26">
        <v>1</v>
      </c>
      <c r="H213" s="25">
        <v>103.62</v>
      </c>
      <c r="I213" s="25">
        <v>120</v>
      </c>
      <c r="J213" s="25">
        <v>120</v>
      </c>
      <c r="K213" s="25">
        <f t="shared" si="21"/>
        <v>103.62</v>
      </c>
      <c r="L213" s="25">
        <f t="shared" si="22"/>
        <v>120</v>
      </c>
      <c r="M213" s="14">
        <f t="shared" si="23"/>
        <v>120</v>
      </c>
    </row>
    <row r="214" spans="1:13" hidden="1" x14ac:dyDescent="0.35">
      <c r="A214" s="21" t="s">
        <v>705</v>
      </c>
      <c r="B214" s="31" t="s">
        <v>1120</v>
      </c>
      <c r="C214" s="21" t="s">
        <v>837</v>
      </c>
      <c r="D214" s="34" t="s">
        <v>838</v>
      </c>
      <c r="E214" s="22" t="s">
        <v>839</v>
      </c>
      <c r="F214" s="23">
        <v>4.2999999999999997E-2</v>
      </c>
      <c r="G214" s="26">
        <v>3</v>
      </c>
      <c r="H214" s="25">
        <v>131.1</v>
      </c>
      <c r="I214" s="25">
        <v>145</v>
      </c>
      <c r="J214" s="25">
        <v>150</v>
      </c>
      <c r="K214" s="25">
        <f t="shared" si="21"/>
        <v>393.29999999999995</v>
      </c>
      <c r="L214" s="25">
        <f t="shared" si="22"/>
        <v>435</v>
      </c>
      <c r="M214" s="14">
        <f t="shared" si="23"/>
        <v>450</v>
      </c>
    </row>
    <row r="215" spans="1:13" hidden="1" x14ac:dyDescent="0.35">
      <c r="A215" s="21" t="s">
        <v>1119</v>
      </c>
      <c r="B215" s="31" t="s">
        <v>1120</v>
      </c>
      <c r="C215" s="21" t="s">
        <v>1314</v>
      </c>
      <c r="D215" s="34" t="s">
        <v>1317</v>
      </c>
      <c r="E215" s="22" t="s">
        <v>1318</v>
      </c>
      <c r="F215" s="23">
        <v>0.4</v>
      </c>
      <c r="G215" s="26">
        <v>1</v>
      </c>
      <c r="H215" s="25">
        <v>203</v>
      </c>
      <c r="I215" s="25">
        <v>230</v>
      </c>
      <c r="J215" s="25">
        <v>230</v>
      </c>
      <c r="K215" s="25">
        <f t="shared" si="21"/>
        <v>203</v>
      </c>
      <c r="L215" s="25">
        <f t="shared" si="22"/>
        <v>230</v>
      </c>
      <c r="M215" s="14">
        <f t="shared" si="23"/>
        <v>230</v>
      </c>
    </row>
    <row r="216" spans="1:13" hidden="1" x14ac:dyDescent="0.35">
      <c r="A216" s="21" t="s">
        <v>1119</v>
      </c>
      <c r="B216" s="31" t="s">
        <v>1120</v>
      </c>
      <c r="C216" s="21" t="s">
        <v>1314</v>
      </c>
      <c r="D216" s="34" t="s">
        <v>1315</v>
      </c>
      <c r="E216" s="22" t="s">
        <v>1316</v>
      </c>
      <c r="F216" s="23">
        <v>0.4</v>
      </c>
      <c r="G216" s="26">
        <v>1</v>
      </c>
      <c r="H216" s="25">
        <v>203</v>
      </c>
      <c r="I216" s="25">
        <v>230</v>
      </c>
      <c r="J216" s="25">
        <v>230</v>
      </c>
      <c r="K216" s="25">
        <f t="shared" si="21"/>
        <v>203</v>
      </c>
      <c r="L216" s="25">
        <f t="shared" si="22"/>
        <v>230</v>
      </c>
      <c r="M216" s="14">
        <f t="shared" si="23"/>
        <v>230</v>
      </c>
    </row>
    <row r="217" spans="1:13" hidden="1" x14ac:dyDescent="0.35">
      <c r="A217" s="21" t="s">
        <v>1119</v>
      </c>
      <c r="B217" s="31" t="s">
        <v>1120</v>
      </c>
      <c r="C217" s="21" t="s">
        <v>1314</v>
      </c>
      <c r="D217" s="34" t="s">
        <v>1321</v>
      </c>
      <c r="E217" s="22" t="s">
        <v>1322</v>
      </c>
      <c r="F217" s="23">
        <v>0.8</v>
      </c>
      <c r="G217" s="26">
        <v>1</v>
      </c>
      <c r="H217" s="25">
        <v>353.93</v>
      </c>
      <c r="I217" s="25">
        <v>400</v>
      </c>
      <c r="J217" s="25">
        <v>400</v>
      </c>
      <c r="K217" s="25">
        <f t="shared" si="21"/>
        <v>353.93</v>
      </c>
      <c r="L217" s="25">
        <f t="shared" si="22"/>
        <v>400</v>
      </c>
      <c r="M217" s="14">
        <f t="shared" si="23"/>
        <v>400</v>
      </c>
    </row>
    <row r="218" spans="1:13" hidden="1" x14ac:dyDescent="0.35">
      <c r="A218" s="21" t="s">
        <v>705</v>
      </c>
      <c r="B218" s="31" t="s">
        <v>1120</v>
      </c>
      <c r="C218" s="21" t="s">
        <v>828</v>
      </c>
      <c r="D218" s="34" t="s">
        <v>829</v>
      </c>
      <c r="E218" s="22" t="s">
        <v>830</v>
      </c>
      <c r="F218" s="23">
        <v>0.75</v>
      </c>
      <c r="G218" s="26">
        <v>1</v>
      </c>
      <c r="H218" s="25">
        <v>650</v>
      </c>
      <c r="I218" s="25">
        <v>700</v>
      </c>
      <c r="J218" s="25">
        <v>700</v>
      </c>
      <c r="K218" s="25">
        <f t="shared" si="21"/>
        <v>650</v>
      </c>
      <c r="L218" s="25">
        <f t="shared" si="22"/>
        <v>700</v>
      </c>
      <c r="M218" s="14">
        <f t="shared" si="23"/>
        <v>700</v>
      </c>
    </row>
    <row r="219" spans="1:13" hidden="1" x14ac:dyDescent="0.35">
      <c r="A219" s="21" t="s">
        <v>705</v>
      </c>
      <c r="B219" s="31" t="s">
        <v>1120</v>
      </c>
      <c r="C219" s="21" t="s">
        <v>787</v>
      </c>
      <c r="D219" s="34" t="s">
        <v>788</v>
      </c>
      <c r="E219" s="22" t="s">
        <v>789</v>
      </c>
      <c r="F219" s="23">
        <v>0.4</v>
      </c>
      <c r="G219" s="26">
        <v>1</v>
      </c>
      <c r="H219" s="25">
        <v>309</v>
      </c>
      <c r="I219" s="25">
        <v>340</v>
      </c>
      <c r="J219" s="25">
        <v>340</v>
      </c>
      <c r="K219" s="25">
        <f t="shared" si="21"/>
        <v>309</v>
      </c>
      <c r="L219" s="25">
        <f t="shared" si="22"/>
        <v>340</v>
      </c>
      <c r="M219" s="14">
        <f t="shared" si="23"/>
        <v>340</v>
      </c>
    </row>
    <row r="220" spans="1:13" hidden="1" x14ac:dyDescent="0.35">
      <c r="A220" s="21" t="s">
        <v>705</v>
      </c>
      <c r="B220" s="31" t="s">
        <v>1120</v>
      </c>
      <c r="C220" s="21" t="s">
        <v>834</v>
      </c>
      <c r="D220" s="34" t="s">
        <v>835</v>
      </c>
      <c r="E220" s="22" t="s">
        <v>836</v>
      </c>
      <c r="F220" s="23">
        <v>4.2999999999999997E-2</v>
      </c>
      <c r="G220" s="26">
        <v>1</v>
      </c>
      <c r="H220" s="25">
        <v>129.4</v>
      </c>
      <c r="I220" s="25">
        <v>145</v>
      </c>
      <c r="J220" s="25">
        <v>150</v>
      </c>
      <c r="K220" s="25">
        <f t="shared" si="21"/>
        <v>129.4</v>
      </c>
      <c r="L220" s="25">
        <f t="shared" si="22"/>
        <v>145</v>
      </c>
      <c r="M220" s="14">
        <f t="shared" si="23"/>
        <v>150</v>
      </c>
    </row>
    <row r="221" spans="1:13" hidden="1" x14ac:dyDescent="0.35">
      <c r="A221" s="21" t="s">
        <v>705</v>
      </c>
      <c r="B221" s="31" t="s">
        <v>1120</v>
      </c>
      <c r="C221" s="21" t="s">
        <v>903</v>
      </c>
      <c r="D221" s="34" t="s">
        <v>916</v>
      </c>
      <c r="E221" s="22" t="s">
        <v>917</v>
      </c>
      <c r="F221" s="23">
        <v>0.12</v>
      </c>
      <c r="G221" s="26">
        <v>6</v>
      </c>
      <c r="H221" s="25">
        <v>64.44</v>
      </c>
      <c r="I221" s="25">
        <v>80</v>
      </c>
      <c r="J221" s="25">
        <v>80</v>
      </c>
      <c r="K221" s="25">
        <f t="shared" si="21"/>
        <v>386.64</v>
      </c>
      <c r="L221" s="25">
        <f t="shared" si="22"/>
        <v>480</v>
      </c>
      <c r="M221" s="14">
        <f t="shared" si="23"/>
        <v>480</v>
      </c>
    </row>
    <row r="222" spans="1:13" hidden="1" x14ac:dyDescent="0.35">
      <c r="A222" s="21" t="s">
        <v>1119</v>
      </c>
      <c r="B222" s="31" t="s">
        <v>1120</v>
      </c>
      <c r="C222" s="21" t="s">
        <v>1121</v>
      </c>
      <c r="D222" s="34" t="s">
        <v>1138</v>
      </c>
      <c r="E222" s="22" t="s">
        <v>1139</v>
      </c>
      <c r="F222" s="23">
        <v>4.4999999999999998E-2</v>
      </c>
      <c r="G222" s="26">
        <v>1</v>
      </c>
      <c r="H222" s="25">
        <v>128.80000000000001</v>
      </c>
      <c r="I222" s="25">
        <v>145</v>
      </c>
      <c r="J222" s="25">
        <v>150</v>
      </c>
      <c r="K222" s="25">
        <f t="shared" si="21"/>
        <v>128.80000000000001</v>
      </c>
      <c r="L222" s="25">
        <f t="shared" si="22"/>
        <v>145</v>
      </c>
      <c r="M222" s="14">
        <f t="shared" si="23"/>
        <v>150</v>
      </c>
    </row>
    <row r="223" spans="1:13" hidden="1" x14ac:dyDescent="0.35">
      <c r="A223" s="21" t="s">
        <v>1119</v>
      </c>
      <c r="B223" s="31" t="s">
        <v>1120</v>
      </c>
      <c r="C223" s="21" t="s">
        <v>1121</v>
      </c>
      <c r="D223" s="34" t="s">
        <v>1157</v>
      </c>
      <c r="E223" s="22" t="s">
        <v>1158</v>
      </c>
      <c r="F223" s="23">
        <v>0.14000000000000001</v>
      </c>
      <c r="G223" s="26">
        <v>0</v>
      </c>
      <c r="H223" s="25">
        <v>254.64</v>
      </c>
      <c r="I223" s="25">
        <v>280</v>
      </c>
      <c r="J223" s="25">
        <v>290</v>
      </c>
      <c r="K223" s="25">
        <f t="shared" si="21"/>
        <v>0</v>
      </c>
      <c r="L223" s="25">
        <f t="shared" si="22"/>
        <v>0</v>
      </c>
      <c r="M223" s="14">
        <f t="shared" si="23"/>
        <v>0</v>
      </c>
    </row>
    <row r="224" spans="1:13" hidden="1" x14ac:dyDescent="0.35">
      <c r="A224" s="21" t="s">
        <v>1119</v>
      </c>
      <c r="B224" s="31" t="s">
        <v>1120</v>
      </c>
      <c r="C224" s="21" t="s">
        <v>1121</v>
      </c>
      <c r="D224" s="34" t="s">
        <v>1140</v>
      </c>
      <c r="E224" s="22" t="s">
        <v>1141</v>
      </c>
      <c r="F224" s="23">
        <v>0.08</v>
      </c>
      <c r="G224" s="26">
        <v>2</v>
      </c>
      <c r="H224" s="25">
        <v>265.95</v>
      </c>
      <c r="I224" s="25">
        <v>280</v>
      </c>
      <c r="J224" s="25">
        <v>290</v>
      </c>
      <c r="K224" s="25">
        <f t="shared" si="21"/>
        <v>531.9</v>
      </c>
      <c r="L224" s="25">
        <f t="shared" si="22"/>
        <v>560</v>
      </c>
      <c r="M224" s="14">
        <f t="shared" si="23"/>
        <v>580</v>
      </c>
    </row>
    <row r="225" spans="1:13" hidden="1" x14ac:dyDescent="0.35">
      <c r="A225" s="21" t="s">
        <v>1119</v>
      </c>
      <c r="B225" s="31" t="s">
        <v>1120</v>
      </c>
      <c r="C225" s="21" t="s">
        <v>1121</v>
      </c>
      <c r="D225" s="34" t="s">
        <v>1159</v>
      </c>
      <c r="E225" s="22" t="s">
        <v>1160</v>
      </c>
      <c r="F225" s="23">
        <v>7.0000000000000007E-2</v>
      </c>
      <c r="G225" s="26">
        <v>2</v>
      </c>
      <c r="H225" s="25">
        <v>135.69999999999999</v>
      </c>
      <c r="I225" s="25">
        <v>140</v>
      </c>
      <c r="J225" s="25">
        <v>150</v>
      </c>
      <c r="K225" s="25">
        <f t="shared" si="21"/>
        <v>271.39999999999998</v>
      </c>
      <c r="L225" s="25">
        <f t="shared" si="22"/>
        <v>280</v>
      </c>
      <c r="M225" s="14">
        <f t="shared" si="23"/>
        <v>300</v>
      </c>
    </row>
    <row r="226" spans="1:13" hidden="1" x14ac:dyDescent="0.35">
      <c r="A226" s="21" t="s">
        <v>1119</v>
      </c>
      <c r="B226" s="31" t="s">
        <v>1120</v>
      </c>
      <c r="C226" s="21" t="s">
        <v>1121</v>
      </c>
      <c r="D226" s="34" t="s">
        <v>1163</v>
      </c>
      <c r="E226" s="22" t="s">
        <v>1901</v>
      </c>
      <c r="F226" s="23">
        <v>1.4999999999999999E-2</v>
      </c>
      <c r="G226" s="26">
        <v>10</v>
      </c>
      <c r="H226" s="25">
        <v>61.35</v>
      </c>
      <c r="I226" s="25">
        <v>70</v>
      </c>
      <c r="J226" s="25">
        <v>70</v>
      </c>
      <c r="K226" s="25">
        <f t="shared" si="21"/>
        <v>613.5</v>
      </c>
      <c r="L226" s="25">
        <f t="shared" si="22"/>
        <v>700</v>
      </c>
      <c r="M226" s="14">
        <f t="shared" si="23"/>
        <v>700</v>
      </c>
    </row>
    <row r="227" spans="1:13" hidden="1" x14ac:dyDescent="0.35">
      <c r="A227" s="21" t="s">
        <v>1119</v>
      </c>
      <c r="B227" s="31" t="s">
        <v>1120</v>
      </c>
      <c r="C227" s="21" t="s">
        <v>1121</v>
      </c>
      <c r="D227" s="34" t="s">
        <v>1175</v>
      </c>
      <c r="E227" s="22" t="s">
        <v>1176</v>
      </c>
      <c r="F227" s="23">
        <v>4.4999999999999998E-2</v>
      </c>
      <c r="G227" s="26">
        <v>3</v>
      </c>
      <c r="H227" s="25">
        <v>111.87</v>
      </c>
      <c r="I227" s="25">
        <v>130</v>
      </c>
      <c r="J227" s="25">
        <v>150</v>
      </c>
      <c r="K227" s="25">
        <f t="shared" si="21"/>
        <v>335.61</v>
      </c>
      <c r="L227" s="25">
        <f t="shared" si="22"/>
        <v>390</v>
      </c>
      <c r="M227" s="14">
        <f t="shared" si="23"/>
        <v>450</v>
      </c>
    </row>
    <row r="228" spans="1:13" hidden="1" x14ac:dyDescent="0.35">
      <c r="A228" s="21" t="s">
        <v>1119</v>
      </c>
      <c r="B228" s="31" t="s">
        <v>1120</v>
      </c>
      <c r="C228" s="21" t="s">
        <v>1121</v>
      </c>
      <c r="D228" s="34" t="s">
        <v>1124</v>
      </c>
      <c r="E228" s="22" t="s">
        <v>1125</v>
      </c>
      <c r="F228" s="23">
        <v>4.2999999999999997E-2</v>
      </c>
      <c r="G228" s="26">
        <v>3</v>
      </c>
      <c r="H228" s="25">
        <v>128.80000000000001</v>
      </c>
      <c r="I228" s="25">
        <v>145</v>
      </c>
      <c r="J228" s="25">
        <v>150</v>
      </c>
      <c r="K228" s="25">
        <f t="shared" si="21"/>
        <v>386.40000000000003</v>
      </c>
      <c r="L228" s="25">
        <f t="shared" si="22"/>
        <v>435</v>
      </c>
      <c r="M228" s="14">
        <f t="shared" si="23"/>
        <v>450</v>
      </c>
    </row>
    <row r="229" spans="1:13" hidden="1" x14ac:dyDescent="0.35">
      <c r="A229" s="21" t="s">
        <v>1119</v>
      </c>
      <c r="B229" s="31" t="s">
        <v>1120</v>
      </c>
      <c r="C229" s="21" t="s">
        <v>1121</v>
      </c>
      <c r="D229" s="34" t="s">
        <v>1128</v>
      </c>
      <c r="E229" s="22" t="s">
        <v>1129</v>
      </c>
      <c r="F229" s="23">
        <v>0.05</v>
      </c>
      <c r="G229" s="26">
        <v>2</v>
      </c>
      <c r="H229" s="25">
        <v>128.80000000000001</v>
      </c>
      <c r="I229" s="25">
        <v>145</v>
      </c>
      <c r="J229" s="25">
        <v>150</v>
      </c>
      <c r="K229" s="25">
        <f t="shared" si="21"/>
        <v>257.60000000000002</v>
      </c>
      <c r="L229" s="25">
        <f t="shared" si="22"/>
        <v>290</v>
      </c>
      <c r="M229" s="14">
        <f t="shared" si="23"/>
        <v>300</v>
      </c>
    </row>
    <row r="230" spans="1:13" hidden="1" x14ac:dyDescent="0.35">
      <c r="A230" s="21" t="s">
        <v>1119</v>
      </c>
      <c r="B230" s="31" t="s">
        <v>1120</v>
      </c>
      <c r="C230" s="21" t="s">
        <v>1121</v>
      </c>
      <c r="D230" s="34" t="s">
        <v>1132</v>
      </c>
      <c r="E230" s="22" t="s">
        <v>1133</v>
      </c>
      <c r="F230" s="23">
        <v>0</v>
      </c>
      <c r="G230" s="26">
        <v>3</v>
      </c>
      <c r="H230" s="25">
        <v>233.7</v>
      </c>
      <c r="I230" s="25">
        <v>250</v>
      </c>
      <c r="J230" s="25">
        <v>260</v>
      </c>
      <c r="K230" s="25">
        <f t="shared" si="21"/>
        <v>701.09999999999991</v>
      </c>
      <c r="L230" s="25">
        <f t="shared" si="22"/>
        <v>750</v>
      </c>
      <c r="M230" s="14">
        <f t="shared" si="23"/>
        <v>780</v>
      </c>
    </row>
    <row r="231" spans="1:13" hidden="1" x14ac:dyDescent="0.35">
      <c r="A231" s="21" t="s">
        <v>1119</v>
      </c>
      <c r="B231" s="31" t="s">
        <v>1120</v>
      </c>
      <c r="C231" s="21" t="s">
        <v>1121</v>
      </c>
      <c r="D231" s="34" t="s">
        <v>1134</v>
      </c>
      <c r="E231" s="22" t="s">
        <v>1135</v>
      </c>
      <c r="F231" s="23">
        <v>4.5999999999999999E-2</v>
      </c>
      <c r="G231" s="26">
        <v>2</v>
      </c>
      <c r="H231" s="25">
        <v>122.35</v>
      </c>
      <c r="I231" s="25">
        <v>135</v>
      </c>
      <c r="J231" s="25">
        <v>140</v>
      </c>
      <c r="K231" s="25">
        <f t="shared" si="21"/>
        <v>244.7</v>
      </c>
      <c r="L231" s="25">
        <f t="shared" si="22"/>
        <v>270</v>
      </c>
      <c r="M231" s="14">
        <f t="shared" si="23"/>
        <v>280</v>
      </c>
    </row>
    <row r="232" spans="1:13" hidden="1" x14ac:dyDescent="0.35">
      <c r="A232" s="21" t="s">
        <v>1119</v>
      </c>
      <c r="B232" s="31" t="s">
        <v>1120</v>
      </c>
      <c r="C232" s="21" t="s">
        <v>1121</v>
      </c>
      <c r="D232" s="34" t="s">
        <v>1142</v>
      </c>
      <c r="E232" s="22" t="s">
        <v>1143</v>
      </c>
      <c r="F232" s="23">
        <v>8.5999999999999993E-2</v>
      </c>
      <c r="G232" s="26">
        <v>3</v>
      </c>
      <c r="H232" s="25">
        <v>265.95</v>
      </c>
      <c r="I232" s="25">
        <v>280</v>
      </c>
      <c r="J232" s="25">
        <v>290</v>
      </c>
      <c r="K232" s="25">
        <f t="shared" si="21"/>
        <v>797.84999999999991</v>
      </c>
      <c r="L232" s="25">
        <f t="shared" si="22"/>
        <v>840</v>
      </c>
      <c r="M232" s="14">
        <f t="shared" si="23"/>
        <v>870</v>
      </c>
    </row>
    <row r="233" spans="1:13" hidden="1" x14ac:dyDescent="0.35">
      <c r="A233" s="21" t="s">
        <v>1119</v>
      </c>
      <c r="B233" s="31" t="s">
        <v>1120</v>
      </c>
      <c r="C233" s="21" t="s">
        <v>1121</v>
      </c>
      <c r="D233" s="34" t="s">
        <v>1144</v>
      </c>
      <c r="E233" s="22" t="s">
        <v>1145</v>
      </c>
      <c r="F233" s="23">
        <v>0.08</v>
      </c>
      <c r="G233" s="26">
        <v>3</v>
      </c>
      <c r="H233" s="25">
        <v>266</v>
      </c>
      <c r="I233" s="25">
        <v>280</v>
      </c>
      <c r="J233" s="25">
        <v>290</v>
      </c>
      <c r="K233" s="25">
        <f t="shared" si="21"/>
        <v>798</v>
      </c>
      <c r="L233" s="25">
        <f t="shared" si="22"/>
        <v>840</v>
      </c>
      <c r="M233" s="14">
        <f t="shared" si="23"/>
        <v>870</v>
      </c>
    </row>
    <row r="234" spans="1:13" hidden="1" x14ac:dyDescent="0.35">
      <c r="A234" s="21" t="s">
        <v>1119</v>
      </c>
      <c r="B234" s="31" t="s">
        <v>1120</v>
      </c>
      <c r="C234" s="21" t="s">
        <v>1121</v>
      </c>
      <c r="D234" s="34" t="s">
        <v>1146</v>
      </c>
      <c r="E234" s="22" t="s">
        <v>1147</v>
      </c>
      <c r="F234" s="23">
        <v>7.0000000000000007E-2</v>
      </c>
      <c r="G234" s="26">
        <v>3</v>
      </c>
      <c r="H234" s="25">
        <v>128.66999999999999</v>
      </c>
      <c r="I234" s="25">
        <v>145</v>
      </c>
      <c r="J234" s="25">
        <v>150</v>
      </c>
      <c r="K234" s="25">
        <f t="shared" si="21"/>
        <v>386.01</v>
      </c>
      <c r="L234" s="25">
        <f t="shared" si="22"/>
        <v>435</v>
      </c>
      <c r="M234" s="14">
        <f t="shared" si="23"/>
        <v>450</v>
      </c>
    </row>
    <row r="235" spans="1:13" hidden="1" x14ac:dyDescent="0.35">
      <c r="A235" s="21" t="s">
        <v>1119</v>
      </c>
      <c r="B235" s="31" t="s">
        <v>1120</v>
      </c>
      <c r="C235" s="21" t="s">
        <v>1121</v>
      </c>
      <c r="D235" s="34" t="s">
        <v>1161</v>
      </c>
      <c r="E235" s="22" t="s">
        <v>1162</v>
      </c>
      <c r="F235" s="23">
        <v>0.05</v>
      </c>
      <c r="G235" s="26">
        <v>0</v>
      </c>
      <c r="H235" s="25">
        <v>131.1</v>
      </c>
      <c r="I235" s="25">
        <v>145</v>
      </c>
      <c r="J235" s="25">
        <v>150</v>
      </c>
      <c r="K235" s="25">
        <f t="shared" si="21"/>
        <v>0</v>
      </c>
      <c r="L235" s="25">
        <f t="shared" si="22"/>
        <v>0</v>
      </c>
      <c r="M235" s="14">
        <f t="shared" si="23"/>
        <v>0</v>
      </c>
    </row>
    <row r="236" spans="1:13" hidden="1" x14ac:dyDescent="0.35">
      <c r="A236" s="21" t="s">
        <v>1119</v>
      </c>
      <c r="B236" s="31" t="s">
        <v>1120</v>
      </c>
      <c r="C236" s="21" t="s">
        <v>1121</v>
      </c>
      <c r="D236" s="34" t="s">
        <v>1165</v>
      </c>
      <c r="E236" s="22" t="s">
        <v>1166</v>
      </c>
      <c r="F236" s="23">
        <v>0.21</v>
      </c>
      <c r="G236" s="26">
        <v>2</v>
      </c>
      <c r="H236" s="25">
        <v>101.04</v>
      </c>
      <c r="I236" s="25">
        <v>130</v>
      </c>
      <c r="J236" s="25">
        <v>130</v>
      </c>
      <c r="K236" s="25">
        <f t="shared" si="21"/>
        <v>202.08</v>
      </c>
      <c r="L236" s="25">
        <f t="shared" si="22"/>
        <v>260</v>
      </c>
      <c r="M236" s="14">
        <f t="shared" si="23"/>
        <v>260</v>
      </c>
    </row>
    <row r="237" spans="1:13" hidden="1" x14ac:dyDescent="0.35">
      <c r="A237" s="21" t="s">
        <v>1119</v>
      </c>
      <c r="B237" s="31" t="s">
        <v>1120</v>
      </c>
      <c r="C237" s="21" t="s">
        <v>1121</v>
      </c>
      <c r="D237" s="34" t="s">
        <v>1169</v>
      </c>
      <c r="E237" s="22" t="s">
        <v>1170</v>
      </c>
      <c r="F237" s="23">
        <v>8.5000000000000006E-2</v>
      </c>
      <c r="G237" s="26">
        <v>0</v>
      </c>
      <c r="H237" s="25">
        <v>239.16</v>
      </c>
      <c r="I237" s="25">
        <v>260</v>
      </c>
      <c r="J237" s="25">
        <v>270</v>
      </c>
      <c r="K237" s="25">
        <f t="shared" si="21"/>
        <v>0</v>
      </c>
      <c r="L237" s="25">
        <f t="shared" si="22"/>
        <v>0</v>
      </c>
      <c r="M237" s="14">
        <f t="shared" si="23"/>
        <v>0</v>
      </c>
    </row>
    <row r="238" spans="1:13" hidden="1" x14ac:dyDescent="0.35">
      <c r="A238" s="21" t="s">
        <v>1119</v>
      </c>
      <c r="B238" s="31" t="s">
        <v>1120</v>
      </c>
      <c r="C238" s="21" t="s">
        <v>1121</v>
      </c>
      <c r="D238" s="34" t="s">
        <v>1177</v>
      </c>
      <c r="E238" s="22" t="s">
        <v>1178</v>
      </c>
      <c r="F238" s="23">
        <v>4.4999999999999998E-2</v>
      </c>
      <c r="G238" s="26">
        <v>1</v>
      </c>
      <c r="H238" s="25">
        <v>111.87</v>
      </c>
      <c r="I238" s="25">
        <v>130</v>
      </c>
      <c r="J238" s="25">
        <v>150</v>
      </c>
      <c r="K238" s="25">
        <f t="shared" si="21"/>
        <v>111.87</v>
      </c>
      <c r="L238" s="25">
        <f t="shared" si="22"/>
        <v>130</v>
      </c>
      <c r="M238" s="14">
        <f t="shared" si="23"/>
        <v>150</v>
      </c>
    </row>
    <row r="239" spans="1:13" hidden="1" x14ac:dyDescent="0.35">
      <c r="A239" s="21" t="s">
        <v>1119</v>
      </c>
      <c r="B239" s="31" t="s">
        <v>1120</v>
      </c>
      <c r="C239" s="21" t="s">
        <v>1121</v>
      </c>
      <c r="D239" s="34" t="s">
        <v>1122</v>
      </c>
      <c r="E239" s="22" t="s">
        <v>1123</v>
      </c>
      <c r="F239" s="23">
        <v>2.5000000000000001E-2</v>
      </c>
      <c r="G239" s="26">
        <v>4</v>
      </c>
      <c r="H239" s="25">
        <v>70.680000000000007</v>
      </c>
      <c r="I239" s="25">
        <v>80</v>
      </c>
      <c r="J239" s="25">
        <v>80</v>
      </c>
      <c r="K239" s="25">
        <f t="shared" si="21"/>
        <v>282.72000000000003</v>
      </c>
      <c r="L239" s="25">
        <f t="shared" si="22"/>
        <v>320</v>
      </c>
      <c r="M239" s="14">
        <f t="shared" si="23"/>
        <v>320</v>
      </c>
    </row>
    <row r="240" spans="1:13" hidden="1" x14ac:dyDescent="0.35">
      <c r="A240" s="21" t="s">
        <v>1119</v>
      </c>
      <c r="B240" s="31" t="s">
        <v>1120</v>
      </c>
      <c r="C240" s="21" t="s">
        <v>1121</v>
      </c>
      <c r="D240" s="34" t="s">
        <v>1130</v>
      </c>
      <c r="E240" s="22" t="s">
        <v>1131</v>
      </c>
      <c r="F240" s="23">
        <v>0.04</v>
      </c>
      <c r="G240" s="26">
        <v>0</v>
      </c>
      <c r="H240" s="25">
        <v>131.1</v>
      </c>
      <c r="I240" s="25">
        <v>145</v>
      </c>
      <c r="J240" s="25">
        <v>150</v>
      </c>
      <c r="K240" s="25">
        <f t="shared" si="21"/>
        <v>0</v>
      </c>
      <c r="L240" s="25">
        <f t="shared" si="22"/>
        <v>0</v>
      </c>
      <c r="M240" s="14">
        <f t="shared" si="23"/>
        <v>0</v>
      </c>
    </row>
    <row r="241" spans="1:13" hidden="1" x14ac:dyDescent="0.35">
      <c r="A241" s="21" t="s">
        <v>1119</v>
      </c>
      <c r="B241" s="31" t="s">
        <v>1120</v>
      </c>
      <c r="C241" s="21" t="s">
        <v>1121</v>
      </c>
      <c r="D241" s="34" t="s">
        <v>1136</v>
      </c>
      <c r="E241" s="22" t="s">
        <v>1137</v>
      </c>
      <c r="F241" s="23">
        <v>0.05</v>
      </c>
      <c r="G241" s="26">
        <v>4</v>
      </c>
      <c r="H241" s="25">
        <v>130.78</v>
      </c>
      <c r="I241" s="25">
        <v>150</v>
      </c>
      <c r="J241" s="25">
        <v>150</v>
      </c>
      <c r="K241" s="25">
        <f t="shared" si="21"/>
        <v>523.12</v>
      </c>
      <c r="L241" s="25">
        <f t="shared" si="22"/>
        <v>600</v>
      </c>
      <c r="M241" s="14">
        <f t="shared" si="23"/>
        <v>600</v>
      </c>
    </row>
    <row r="242" spans="1:13" hidden="1" x14ac:dyDescent="0.35">
      <c r="A242" s="21" t="s">
        <v>1119</v>
      </c>
      <c r="B242" s="31" t="s">
        <v>1845</v>
      </c>
      <c r="C242" s="21" t="s">
        <v>1181</v>
      </c>
      <c r="D242" s="34" t="s">
        <v>1184</v>
      </c>
      <c r="E242" s="22" t="s">
        <v>1185</v>
      </c>
      <c r="F242" s="23">
        <v>0.12</v>
      </c>
      <c r="G242" s="26">
        <v>3</v>
      </c>
      <c r="H242" s="25">
        <v>234.67</v>
      </c>
      <c r="I242" s="25">
        <v>260</v>
      </c>
      <c r="J242" s="25">
        <v>270</v>
      </c>
      <c r="K242" s="25">
        <f t="shared" si="21"/>
        <v>704.01</v>
      </c>
      <c r="L242" s="25">
        <f t="shared" si="22"/>
        <v>780</v>
      </c>
      <c r="M242" s="14">
        <f t="shared" si="23"/>
        <v>810</v>
      </c>
    </row>
    <row r="243" spans="1:13" hidden="1" x14ac:dyDescent="0.35">
      <c r="A243" s="21" t="s">
        <v>1119</v>
      </c>
      <c r="B243" s="31" t="s">
        <v>1845</v>
      </c>
      <c r="C243" s="21" t="s">
        <v>1181</v>
      </c>
      <c r="D243" s="34" t="s">
        <v>1186</v>
      </c>
      <c r="E243" s="22" t="s">
        <v>1187</v>
      </c>
      <c r="F243" s="23">
        <v>0.09</v>
      </c>
      <c r="G243" s="26">
        <v>4</v>
      </c>
      <c r="H243" s="25">
        <v>270</v>
      </c>
      <c r="I243" s="25">
        <v>280</v>
      </c>
      <c r="J243" s="25">
        <v>290</v>
      </c>
      <c r="K243" s="25">
        <f t="shared" si="21"/>
        <v>1080</v>
      </c>
      <c r="L243" s="25">
        <f t="shared" si="22"/>
        <v>1120</v>
      </c>
      <c r="M243" s="14">
        <f t="shared" si="23"/>
        <v>1160</v>
      </c>
    </row>
    <row r="244" spans="1:13" hidden="1" x14ac:dyDescent="0.35">
      <c r="A244" s="21" t="s">
        <v>1119</v>
      </c>
      <c r="B244" s="31" t="s">
        <v>1845</v>
      </c>
      <c r="C244" s="21" t="s">
        <v>1181</v>
      </c>
      <c r="D244" s="34" t="s">
        <v>1188</v>
      </c>
      <c r="E244" s="22" t="s">
        <v>1189</v>
      </c>
      <c r="F244" s="23">
        <v>0.09</v>
      </c>
      <c r="G244" s="26">
        <v>2</v>
      </c>
      <c r="H244" s="25">
        <v>252</v>
      </c>
      <c r="I244" s="25">
        <v>280</v>
      </c>
      <c r="J244" s="25">
        <v>290</v>
      </c>
      <c r="K244" s="25">
        <f t="shared" ref="K244:K275" si="24">H244*G244</f>
        <v>504</v>
      </c>
      <c r="L244" s="25">
        <f t="shared" ref="L244:L275" si="25">I244*G244</f>
        <v>560</v>
      </c>
      <c r="M244" s="14">
        <f t="shared" ref="M244:M275" si="26">J244*G244</f>
        <v>580</v>
      </c>
    </row>
    <row r="245" spans="1:13" hidden="1" x14ac:dyDescent="0.35">
      <c r="A245" s="21" t="s">
        <v>1119</v>
      </c>
      <c r="B245" s="31" t="s">
        <v>1845</v>
      </c>
      <c r="C245" s="21" t="s">
        <v>1181</v>
      </c>
      <c r="D245" s="34" t="s">
        <v>1190</v>
      </c>
      <c r="E245" s="22" t="s">
        <v>1191</v>
      </c>
      <c r="F245" s="23">
        <v>0.05</v>
      </c>
      <c r="G245" s="26">
        <v>2</v>
      </c>
      <c r="H245" s="25">
        <v>239.33</v>
      </c>
      <c r="I245" s="25">
        <v>260</v>
      </c>
      <c r="J245" s="25">
        <v>270</v>
      </c>
      <c r="K245" s="25">
        <f t="shared" si="24"/>
        <v>478.66</v>
      </c>
      <c r="L245" s="25">
        <f t="shared" si="25"/>
        <v>520</v>
      </c>
      <c r="M245" s="14">
        <f t="shared" si="26"/>
        <v>540</v>
      </c>
    </row>
    <row r="246" spans="1:13" hidden="1" x14ac:dyDescent="0.35">
      <c r="A246" s="21" t="s">
        <v>1119</v>
      </c>
      <c r="B246" s="31" t="s">
        <v>1845</v>
      </c>
      <c r="C246" s="21" t="s">
        <v>1181</v>
      </c>
      <c r="D246" s="34" t="s">
        <v>1194</v>
      </c>
      <c r="E246" s="22" t="s">
        <v>1195</v>
      </c>
      <c r="F246" s="23">
        <v>2.5000000000000001E-2</v>
      </c>
      <c r="G246" s="26">
        <v>2</v>
      </c>
      <c r="H246" s="25">
        <v>59.75</v>
      </c>
      <c r="I246" s="25">
        <v>70</v>
      </c>
      <c r="J246" s="25">
        <v>70</v>
      </c>
      <c r="K246" s="25">
        <f t="shared" si="24"/>
        <v>119.5</v>
      </c>
      <c r="L246" s="25">
        <f t="shared" si="25"/>
        <v>140</v>
      </c>
      <c r="M246" s="14">
        <f t="shared" si="26"/>
        <v>140</v>
      </c>
    </row>
    <row r="247" spans="1:13" hidden="1" x14ac:dyDescent="0.35">
      <c r="A247" s="21" t="s">
        <v>1119</v>
      </c>
      <c r="B247" s="31" t="s">
        <v>1845</v>
      </c>
      <c r="C247" s="21" t="s">
        <v>1181</v>
      </c>
      <c r="D247" s="34" t="s">
        <v>1196</v>
      </c>
      <c r="E247" s="22" t="s">
        <v>1197</v>
      </c>
      <c r="F247" s="23">
        <v>0.03</v>
      </c>
      <c r="G247" s="26">
        <v>11</v>
      </c>
      <c r="H247" s="25">
        <v>51.84</v>
      </c>
      <c r="I247" s="25">
        <v>70</v>
      </c>
      <c r="J247" s="25">
        <v>70</v>
      </c>
      <c r="K247" s="25">
        <f t="shared" si="24"/>
        <v>570.24</v>
      </c>
      <c r="L247" s="25">
        <f t="shared" si="25"/>
        <v>770</v>
      </c>
      <c r="M247" s="14">
        <f t="shared" si="26"/>
        <v>770</v>
      </c>
    </row>
    <row r="248" spans="1:13" hidden="1" x14ac:dyDescent="0.35">
      <c r="A248" s="21" t="s">
        <v>1119</v>
      </c>
      <c r="B248" s="31" t="s">
        <v>1845</v>
      </c>
      <c r="C248" s="21" t="s">
        <v>1181</v>
      </c>
      <c r="D248" s="34" t="s">
        <v>1204</v>
      </c>
      <c r="E248" s="22" t="s">
        <v>1205</v>
      </c>
      <c r="F248" s="23">
        <v>0.03</v>
      </c>
      <c r="G248" s="26">
        <v>5</v>
      </c>
      <c r="H248" s="25">
        <v>58.585000000000001</v>
      </c>
      <c r="I248" s="25">
        <v>70</v>
      </c>
      <c r="J248" s="25">
        <v>70</v>
      </c>
      <c r="K248" s="25">
        <f t="shared" si="24"/>
        <v>292.92500000000001</v>
      </c>
      <c r="L248" s="25">
        <f t="shared" si="25"/>
        <v>350</v>
      </c>
      <c r="M248" s="14">
        <f t="shared" si="26"/>
        <v>350</v>
      </c>
    </row>
    <row r="249" spans="1:13" hidden="1" x14ac:dyDescent="0.35">
      <c r="A249" s="21" t="s">
        <v>1119</v>
      </c>
      <c r="B249" s="31" t="s">
        <v>1845</v>
      </c>
      <c r="C249" s="21" t="s">
        <v>1181</v>
      </c>
      <c r="D249" s="34" t="s">
        <v>1208</v>
      </c>
      <c r="E249" s="22" t="s">
        <v>1209</v>
      </c>
      <c r="F249" s="23">
        <v>0.03</v>
      </c>
      <c r="G249" s="26">
        <v>2</v>
      </c>
      <c r="H249" s="25">
        <v>66</v>
      </c>
      <c r="I249" s="25">
        <v>70</v>
      </c>
      <c r="J249" s="25">
        <v>70</v>
      </c>
      <c r="K249" s="25">
        <f t="shared" si="24"/>
        <v>132</v>
      </c>
      <c r="L249" s="25">
        <f t="shared" si="25"/>
        <v>140</v>
      </c>
      <c r="M249" s="14">
        <f t="shared" si="26"/>
        <v>140</v>
      </c>
    </row>
    <row r="250" spans="1:13" hidden="1" x14ac:dyDescent="0.35">
      <c r="A250" s="21" t="s">
        <v>1119</v>
      </c>
      <c r="B250" s="31" t="s">
        <v>1845</v>
      </c>
      <c r="C250" s="21" t="s">
        <v>1181</v>
      </c>
      <c r="D250" s="34" t="s">
        <v>1210</v>
      </c>
      <c r="E250" s="22" t="s">
        <v>1211</v>
      </c>
      <c r="F250" s="23">
        <v>2.3E-2</v>
      </c>
      <c r="G250" s="26">
        <v>6</v>
      </c>
      <c r="H250" s="25">
        <v>68.83</v>
      </c>
      <c r="I250" s="25">
        <v>80</v>
      </c>
      <c r="J250" s="25">
        <v>80</v>
      </c>
      <c r="K250" s="25">
        <f t="shared" si="24"/>
        <v>412.98</v>
      </c>
      <c r="L250" s="25">
        <f t="shared" si="25"/>
        <v>480</v>
      </c>
      <c r="M250" s="14">
        <f t="shared" si="26"/>
        <v>480</v>
      </c>
    </row>
    <row r="251" spans="1:13" hidden="1" x14ac:dyDescent="0.35">
      <c r="A251" s="21" t="s">
        <v>1119</v>
      </c>
      <c r="B251" s="31" t="s">
        <v>1845</v>
      </c>
      <c r="C251" s="21" t="s">
        <v>1181</v>
      </c>
      <c r="D251" s="34" t="s">
        <v>1212</v>
      </c>
      <c r="E251" s="22" t="s">
        <v>1213</v>
      </c>
      <c r="F251" s="23">
        <v>0.1</v>
      </c>
      <c r="G251" s="26">
        <v>5</v>
      </c>
      <c r="H251" s="25">
        <v>239.25</v>
      </c>
      <c r="I251" s="25">
        <v>260</v>
      </c>
      <c r="J251" s="25">
        <v>270</v>
      </c>
      <c r="K251" s="25">
        <f t="shared" si="24"/>
        <v>1196.25</v>
      </c>
      <c r="L251" s="25">
        <f t="shared" si="25"/>
        <v>1300</v>
      </c>
      <c r="M251" s="14">
        <f t="shared" si="26"/>
        <v>1350</v>
      </c>
    </row>
    <row r="252" spans="1:13" hidden="1" x14ac:dyDescent="0.35">
      <c r="A252" s="21" t="s">
        <v>1119</v>
      </c>
      <c r="B252" s="31" t="s">
        <v>1845</v>
      </c>
      <c r="C252" s="21" t="s">
        <v>1181</v>
      </c>
      <c r="D252" s="34" t="s">
        <v>1238</v>
      </c>
      <c r="E252" s="22" t="s">
        <v>1239</v>
      </c>
      <c r="F252" s="23">
        <v>0.06</v>
      </c>
      <c r="G252" s="26">
        <v>1</v>
      </c>
      <c r="H252" s="25">
        <v>127.67</v>
      </c>
      <c r="I252" s="25">
        <v>145</v>
      </c>
      <c r="J252" s="25">
        <v>150</v>
      </c>
      <c r="K252" s="25">
        <f t="shared" si="24"/>
        <v>127.67</v>
      </c>
      <c r="L252" s="25">
        <f t="shared" si="25"/>
        <v>145</v>
      </c>
      <c r="M252" s="14">
        <f t="shared" si="26"/>
        <v>150</v>
      </c>
    </row>
    <row r="253" spans="1:13" hidden="1" x14ac:dyDescent="0.35">
      <c r="A253" s="21" t="s">
        <v>1119</v>
      </c>
      <c r="B253" s="31" t="s">
        <v>1845</v>
      </c>
      <c r="C253" s="21" t="s">
        <v>1181</v>
      </c>
      <c r="D253" s="34" t="s">
        <v>1240</v>
      </c>
      <c r="E253" s="22" t="s">
        <v>1241</v>
      </c>
      <c r="F253" s="23">
        <v>0.05</v>
      </c>
      <c r="G253" s="26">
        <v>2</v>
      </c>
      <c r="H253" s="25">
        <v>81.83</v>
      </c>
      <c r="I253" s="25">
        <v>100</v>
      </c>
      <c r="J253" s="25">
        <v>100</v>
      </c>
      <c r="K253" s="25">
        <f t="shared" si="24"/>
        <v>163.66</v>
      </c>
      <c r="L253" s="25">
        <f t="shared" si="25"/>
        <v>200</v>
      </c>
      <c r="M253" s="14">
        <f t="shared" si="26"/>
        <v>200</v>
      </c>
    </row>
    <row r="254" spans="1:13" hidden="1" x14ac:dyDescent="0.35">
      <c r="A254" s="21" t="s">
        <v>1119</v>
      </c>
      <c r="B254" s="31" t="s">
        <v>1845</v>
      </c>
      <c r="C254" s="21" t="s">
        <v>1181</v>
      </c>
      <c r="D254" s="34" t="s">
        <v>1244</v>
      </c>
      <c r="E254" s="22" t="s">
        <v>1245</v>
      </c>
      <c r="F254" s="23">
        <v>0.05</v>
      </c>
      <c r="G254" s="26">
        <v>2</v>
      </c>
      <c r="H254" s="25">
        <v>231.67</v>
      </c>
      <c r="I254" s="25">
        <v>260</v>
      </c>
      <c r="J254" s="25">
        <v>270</v>
      </c>
      <c r="K254" s="25">
        <f t="shared" si="24"/>
        <v>463.34</v>
      </c>
      <c r="L254" s="25">
        <f t="shared" si="25"/>
        <v>520</v>
      </c>
      <c r="M254" s="14">
        <f t="shared" si="26"/>
        <v>540</v>
      </c>
    </row>
    <row r="255" spans="1:13" hidden="1" x14ac:dyDescent="0.35">
      <c r="A255" s="21" t="s">
        <v>1119</v>
      </c>
      <c r="B255" s="31" t="s">
        <v>1845</v>
      </c>
      <c r="C255" s="21" t="s">
        <v>1181</v>
      </c>
      <c r="D255" s="34" t="s">
        <v>1246</v>
      </c>
      <c r="E255" s="22" t="s">
        <v>1247</v>
      </c>
      <c r="F255" s="23">
        <v>0.05</v>
      </c>
      <c r="G255" s="26">
        <v>1</v>
      </c>
      <c r="H255" s="25">
        <v>232</v>
      </c>
      <c r="I255" s="25">
        <v>260</v>
      </c>
      <c r="J255" s="25">
        <v>270</v>
      </c>
      <c r="K255" s="25">
        <f t="shared" si="24"/>
        <v>232</v>
      </c>
      <c r="L255" s="25">
        <f t="shared" si="25"/>
        <v>260</v>
      </c>
      <c r="M255" s="14">
        <f t="shared" si="26"/>
        <v>270</v>
      </c>
    </row>
    <row r="256" spans="1:13" hidden="1" x14ac:dyDescent="0.35">
      <c r="A256" s="21" t="s">
        <v>1119</v>
      </c>
      <c r="B256" s="31" t="s">
        <v>1845</v>
      </c>
      <c r="C256" s="21" t="s">
        <v>1181</v>
      </c>
      <c r="D256" s="34" t="s">
        <v>1250</v>
      </c>
      <c r="E256" s="22" t="s">
        <v>1251</v>
      </c>
      <c r="F256" s="23">
        <v>4.4999999999999998E-2</v>
      </c>
      <c r="G256" s="26">
        <v>4</v>
      </c>
      <c r="H256" s="25">
        <v>118</v>
      </c>
      <c r="I256" s="25">
        <v>140</v>
      </c>
      <c r="J256" s="25">
        <v>150</v>
      </c>
      <c r="K256" s="25">
        <f t="shared" si="24"/>
        <v>472</v>
      </c>
      <c r="L256" s="25">
        <f t="shared" si="25"/>
        <v>560</v>
      </c>
      <c r="M256" s="14">
        <f t="shared" si="26"/>
        <v>600</v>
      </c>
    </row>
    <row r="257" spans="1:13" hidden="1" x14ac:dyDescent="0.35">
      <c r="A257" s="21" t="s">
        <v>1119</v>
      </c>
      <c r="B257" s="31" t="s">
        <v>1845</v>
      </c>
      <c r="C257" s="21" t="s">
        <v>1181</v>
      </c>
      <c r="D257" s="34" t="s">
        <v>1252</v>
      </c>
      <c r="E257" s="22" t="s">
        <v>1253</v>
      </c>
      <c r="F257" s="23">
        <v>0.04</v>
      </c>
      <c r="G257" s="26">
        <v>2</v>
      </c>
      <c r="H257" s="25">
        <v>128.5</v>
      </c>
      <c r="I257" s="25">
        <v>145</v>
      </c>
      <c r="J257" s="25">
        <v>150</v>
      </c>
      <c r="K257" s="25">
        <f t="shared" si="24"/>
        <v>257</v>
      </c>
      <c r="L257" s="25">
        <f t="shared" si="25"/>
        <v>290</v>
      </c>
      <c r="M257" s="14">
        <f t="shared" si="26"/>
        <v>300</v>
      </c>
    </row>
    <row r="258" spans="1:13" hidden="1" x14ac:dyDescent="0.35">
      <c r="A258" s="21" t="s">
        <v>1119</v>
      </c>
      <c r="B258" s="31" t="s">
        <v>1845</v>
      </c>
      <c r="C258" s="21" t="s">
        <v>1181</v>
      </c>
      <c r="D258" s="34" t="s">
        <v>1254</v>
      </c>
      <c r="E258" s="22" t="s">
        <v>1255</v>
      </c>
      <c r="F258" s="23">
        <v>0.04</v>
      </c>
      <c r="G258" s="26">
        <v>1</v>
      </c>
      <c r="H258" s="25">
        <v>126</v>
      </c>
      <c r="I258" s="25">
        <v>140</v>
      </c>
      <c r="J258" s="25">
        <v>150</v>
      </c>
      <c r="K258" s="25">
        <f t="shared" si="24"/>
        <v>126</v>
      </c>
      <c r="L258" s="25">
        <f t="shared" si="25"/>
        <v>140</v>
      </c>
      <c r="M258" s="14">
        <f t="shared" si="26"/>
        <v>150</v>
      </c>
    </row>
    <row r="259" spans="1:13" hidden="1" x14ac:dyDescent="0.35">
      <c r="A259" s="21" t="s">
        <v>1119</v>
      </c>
      <c r="B259" s="31" t="s">
        <v>1845</v>
      </c>
      <c r="C259" s="21" t="s">
        <v>1181</v>
      </c>
      <c r="D259" s="34" t="s">
        <v>1258</v>
      </c>
      <c r="E259" s="22" t="s">
        <v>1259</v>
      </c>
      <c r="F259" s="23">
        <v>5.5E-2</v>
      </c>
      <c r="G259" s="26">
        <v>3</v>
      </c>
      <c r="H259" s="25">
        <v>118</v>
      </c>
      <c r="I259" s="25">
        <v>130</v>
      </c>
      <c r="J259" s="25">
        <v>140</v>
      </c>
      <c r="K259" s="25">
        <f t="shared" si="24"/>
        <v>354</v>
      </c>
      <c r="L259" s="25">
        <f t="shared" si="25"/>
        <v>390</v>
      </c>
      <c r="M259" s="14">
        <f t="shared" si="26"/>
        <v>420</v>
      </c>
    </row>
    <row r="260" spans="1:13" hidden="1" x14ac:dyDescent="0.35">
      <c r="A260" s="21" t="s">
        <v>1119</v>
      </c>
      <c r="B260" s="31" t="s">
        <v>1845</v>
      </c>
      <c r="C260" s="21" t="s">
        <v>1181</v>
      </c>
      <c r="D260" s="34" t="s">
        <v>1260</v>
      </c>
      <c r="E260" s="22" t="s">
        <v>1261</v>
      </c>
      <c r="F260" s="23">
        <v>0.05</v>
      </c>
      <c r="G260" s="26">
        <v>2</v>
      </c>
      <c r="H260" s="25">
        <v>118</v>
      </c>
      <c r="I260" s="25">
        <v>140</v>
      </c>
      <c r="J260" s="25">
        <v>150</v>
      </c>
      <c r="K260" s="25">
        <f t="shared" si="24"/>
        <v>236</v>
      </c>
      <c r="L260" s="25">
        <f t="shared" si="25"/>
        <v>280</v>
      </c>
      <c r="M260" s="14">
        <f t="shared" si="26"/>
        <v>300</v>
      </c>
    </row>
    <row r="261" spans="1:13" hidden="1" x14ac:dyDescent="0.35">
      <c r="A261" s="21" t="s">
        <v>1119</v>
      </c>
      <c r="B261" s="31" t="s">
        <v>1845</v>
      </c>
      <c r="C261" s="21" t="s">
        <v>1181</v>
      </c>
      <c r="D261" s="34" t="s">
        <v>1264</v>
      </c>
      <c r="E261" s="22" t="s">
        <v>1265</v>
      </c>
      <c r="F261" s="23">
        <v>0.05</v>
      </c>
      <c r="G261" s="26">
        <v>2</v>
      </c>
      <c r="H261" s="25">
        <v>128.5</v>
      </c>
      <c r="I261" s="25">
        <v>145</v>
      </c>
      <c r="J261" s="25">
        <v>150</v>
      </c>
      <c r="K261" s="25">
        <f t="shared" si="24"/>
        <v>257</v>
      </c>
      <c r="L261" s="25">
        <f t="shared" si="25"/>
        <v>290</v>
      </c>
      <c r="M261" s="14">
        <f t="shared" si="26"/>
        <v>300</v>
      </c>
    </row>
    <row r="262" spans="1:13" hidden="1" x14ac:dyDescent="0.35">
      <c r="A262" s="21" t="s">
        <v>1119</v>
      </c>
      <c r="B262" s="31" t="s">
        <v>1845</v>
      </c>
      <c r="C262" s="21" t="s">
        <v>1181</v>
      </c>
      <c r="D262" s="34" t="s">
        <v>1266</v>
      </c>
      <c r="E262" s="22" t="s">
        <v>1267</v>
      </c>
      <c r="F262" s="23">
        <v>0.05</v>
      </c>
      <c r="G262" s="26">
        <v>2</v>
      </c>
      <c r="H262" s="25">
        <v>126.5</v>
      </c>
      <c r="I262" s="25">
        <v>145</v>
      </c>
      <c r="J262" s="25">
        <v>150</v>
      </c>
      <c r="K262" s="25">
        <f t="shared" si="24"/>
        <v>253</v>
      </c>
      <c r="L262" s="25">
        <f t="shared" si="25"/>
        <v>290</v>
      </c>
      <c r="M262" s="14">
        <f t="shared" si="26"/>
        <v>300</v>
      </c>
    </row>
    <row r="263" spans="1:13" hidden="1" x14ac:dyDescent="0.35">
      <c r="A263" s="21" t="s">
        <v>1119</v>
      </c>
      <c r="B263" s="31" t="s">
        <v>1845</v>
      </c>
      <c r="C263" s="21" t="s">
        <v>1181</v>
      </c>
      <c r="D263" s="34" t="s">
        <v>1268</v>
      </c>
      <c r="E263" s="22" t="s">
        <v>1269</v>
      </c>
      <c r="F263" s="23">
        <v>0.06</v>
      </c>
      <c r="G263" s="26">
        <v>0</v>
      </c>
      <c r="H263" s="25">
        <v>126.5</v>
      </c>
      <c r="I263" s="25">
        <v>145</v>
      </c>
      <c r="J263" s="25">
        <v>150</v>
      </c>
      <c r="K263" s="25">
        <f t="shared" si="24"/>
        <v>0</v>
      </c>
      <c r="L263" s="25">
        <f t="shared" si="25"/>
        <v>0</v>
      </c>
      <c r="M263" s="14">
        <f t="shared" si="26"/>
        <v>0</v>
      </c>
    </row>
    <row r="264" spans="1:13" hidden="1" x14ac:dyDescent="0.35">
      <c r="A264" s="21" t="s">
        <v>1119</v>
      </c>
      <c r="B264" s="31" t="s">
        <v>1845</v>
      </c>
      <c r="C264" s="21" t="s">
        <v>1181</v>
      </c>
      <c r="D264" s="34" t="s">
        <v>1270</v>
      </c>
      <c r="E264" s="22" t="s">
        <v>1271</v>
      </c>
      <c r="F264" s="23">
        <v>0.05</v>
      </c>
      <c r="G264" s="26">
        <v>2</v>
      </c>
      <c r="H264" s="25">
        <v>126.33</v>
      </c>
      <c r="I264" s="25">
        <v>140</v>
      </c>
      <c r="J264" s="25">
        <v>150</v>
      </c>
      <c r="K264" s="25">
        <f t="shared" si="24"/>
        <v>252.66</v>
      </c>
      <c r="L264" s="25">
        <f t="shared" si="25"/>
        <v>280</v>
      </c>
      <c r="M264" s="14">
        <f t="shared" si="26"/>
        <v>300</v>
      </c>
    </row>
    <row r="265" spans="1:13" hidden="1" x14ac:dyDescent="0.35">
      <c r="A265" s="21" t="s">
        <v>1119</v>
      </c>
      <c r="B265" s="31" t="s">
        <v>1845</v>
      </c>
      <c r="C265" s="21" t="s">
        <v>1181</v>
      </c>
      <c r="D265" s="34" t="s">
        <v>1278</v>
      </c>
      <c r="E265" s="22" t="s">
        <v>1279</v>
      </c>
      <c r="F265" s="23">
        <v>0.05</v>
      </c>
      <c r="G265" s="26">
        <v>3</v>
      </c>
      <c r="H265" s="25">
        <v>126.5</v>
      </c>
      <c r="I265" s="25">
        <v>145</v>
      </c>
      <c r="J265" s="25">
        <v>150</v>
      </c>
      <c r="K265" s="25">
        <f t="shared" si="24"/>
        <v>379.5</v>
      </c>
      <c r="L265" s="25">
        <f t="shared" si="25"/>
        <v>435</v>
      </c>
      <c r="M265" s="14">
        <f t="shared" si="26"/>
        <v>450</v>
      </c>
    </row>
    <row r="266" spans="1:13" hidden="1" x14ac:dyDescent="0.35">
      <c r="A266" s="21" t="s">
        <v>1119</v>
      </c>
      <c r="B266" s="31" t="s">
        <v>1845</v>
      </c>
      <c r="C266" s="21" t="s">
        <v>1181</v>
      </c>
      <c r="D266" s="34" t="s">
        <v>1282</v>
      </c>
      <c r="E266" s="22" t="s">
        <v>1283</v>
      </c>
      <c r="F266" s="23">
        <v>0.05</v>
      </c>
      <c r="G266" s="26">
        <v>2</v>
      </c>
      <c r="H266" s="25">
        <v>101</v>
      </c>
      <c r="I266" s="25">
        <v>120</v>
      </c>
      <c r="J266" s="25">
        <v>120</v>
      </c>
      <c r="K266" s="25">
        <f t="shared" si="24"/>
        <v>202</v>
      </c>
      <c r="L266" s="25">
        <f t="shared" si="25"/>
        <v>240</v>
      </c>
      <c r="M266" s="14">
        <f t="shared" si="26"/>
        <v>240</v>
      </c>
    </row>
    <row r="267" spans="1:13" hidden="1" x14ac:dyDescent="0.35">
      <c r="A267" s="21" t="s">
        <v>1119</v>
      </c>
      <c r="B267" s="31" t="s">
        <v>1845</v>
      </c>
      <c r="C267" s="21" t="s">
        <v>1181</v>
      </c>
      <c r="D267" s="34" t="s">
        <v>1286</v>
      </c>
      <c r="E267" s="22" t="s">
        <v>1287</v>
      </c>
      <c r="F267" s="23">
        <v>0.05</v>
      </c>
      <c r="G267" s="26">
        <v>3</v>
      </c>
      <c r="H267" s="25">
        <v>126.5</v>
      </c>
      <c r="I267" s="25">
        <v>145</v>
      </c>
      <c r="J267" s="25">
        <v>150</v>
      </c>
      <c r="K267" s="25">
        <f t="shared" si="24"/>
        <v>379.5</v>
      </c>
      <c r="L267" s="25">
        <f t="shared" si="25"/>
        <v>435</v>
      </c>
      <c r="M267" s="14">
        <f t="shared" si="26"/>
        <v>450</v>
      </c>
    </row>
    <row r="268" spans="1:13" hidden="1" x14ac:dyDescent="0.35">
      <c r="A268" s="21" t="s">
        <v>1119</v>
      </c>
      <c r="B268" s="31" t="s">
        <v>1845</v>
      </c>
      <c r="C268" s="21" t="s">
        <v>1181</v>
      </c>
      <c r="D268" s="34" t="s">
        <v>1288</v>
      </c>
      <c r="E268" s="22" t="s">
        <v>1289</v>
      </c>
      <c r="F268" s="23">
        <v>0.05</v>
      </c>
      <c r="G268" s="26">
        <v>2</v>
      </c>
      <c r="H268" s="25">
        <v>126.5</v>
      </c>
      <c r="I268" s="25">
        <v>145</v>
      </c>
      <c r="J268" s="25">
        <v>150</v>
      </c>
      <c r="K268" s="25">
        <f t="shared" si="24"/>
        <v>253</v>
      </c>
      <c r="L268" s="25">
        <f t="shared" si="25"/>
        <v>290</v>
      </c>
      <c r="M268" s="14">
        <f t="shared" si="26"/>
        <v>300</v>
      </c>
    </row>
    <row r="269" spans="1:13" hidden="1" x14ac:dyDescent="0.35">
      <c r="A269" s="21" t="s">
        <v>1119</v>
      </c>
      <c r="B269" s="31" t="s">
        <v>1845</v>
      </c>
      <c r="C269" s="21" t="s">
        <v>1181</v>
      </c>
      <c r="D269" s="34">
        <v>788821150387</v>
      </c>
      <c r="E269" s="22" t="s">
        <v>1890</v>
      </c>
      <c r="F269" s="23">
        <v>0.05</v>
      </c>
      <c r="G269" s="26">
        <v>2</v>
      </c>
      <c r="H269" s="25">
        <v>120</v>
      </c>
      <c r="I269" s="25">
        <v>140</v>
      </c>
      <c r="J269" s="25">
        <v>140</v>
      </c>
      <c r="K269" s="25">
        <f t="shared" si="24"/>
        <v>240</v>
      </c>
      <c r="L269" s="25">
        <f t="shared" si="25"/>
        <v>280</v>
      </c>
      <c r="M269" s="14">
        <f t="shared" si="26"/>
        <v>280</v>
      </c>
    </row>
    <row r="270" spans="1:13" hidden="1" x14ac:dyDescent="0.35">
      <c r="A270" s="21" t="s">
        <v>1119</v>
      </c>
      <c r="B270" s="31" t="s">
        <v>1845</v>
      </c>
      <c r="C270" s="21" t="s">
        <v>1181</v>
      </c>
      <c r="D270" s="34">
        <v>788821001351</v>
      </c>
      <c r="E270" s="22" t="s">
        <v>1893</v>
      </c>
      <c r="F270" s="23">
        <v>2.5000000000000001E-2</v>
      </c>
      <c r="G270" s="26">
        <v>25</v>
      </c>
      <c r="H270" s="25">
        <v>70</v>
      </c>
      <c r="I270" s="25">
        <v>80</v>
      </c>
      <c r="J270" s="25">
        <v>80</v>
      </c>
      <c r="K270" s="25">
        <f t="shared" si="24"/>
        <v>1750</v>
      </c>
      <c r="L270" s="25">
        <f t="shared" si="25"/>
        <v>2000</v>
      </c>
      <c r="M270" s="14">
        <f t="shared" si="26"/>
        <v>2000</v>
      </c>
    </row>
    <row r="271" spans="1:13" hidden="1" x14ac:dyDescent="0.35">
      <c r="A271" s="21" t="s">
        <v>1119</v>
      </c>
      <c r="B271" s="31" t="s">
        <v>1845</v>
      </c>
      <c r="C271" s="21" t="s">
        <v>1181</v>
      </c>
      <c r="D271" s="34">
        <v>788821001412</v>
      </c>
      <c r="E271" s="22" t="s">
        <v>1894</v>
      </c>
      <c r="F271" s="23">
        <v>2.5000000000000001E-2</v>
      </c>
      <c r="G271" s="26">
        <v>19</v>
      </c>
      <c r="H271" s="25">
        <v>70</v>
      </c>
      <c r="I271" s="25">
        <v>80</v>
      </c>
      <c r="J271" s="25">
        <v>80</v>
      </c>
      <c r="K271" s="25">
        <f t="shared" si="24"/>
        <v>1330</v>
      </c>
      <c r="L271" s="25">
        <f t="shared" si="25"/>
        <v>1520</v>
      </c>
      <c r="M271" s="14">
        <f t="shared" si="26"/>
        <v>1520</v>
      </c>
    </row>
    <row r="272" spans="1:13" hidden="1" x14ac:dyDescent="0.35">
      <c r="A272" s="21" t="s">
        <v>1119</v>
      </c>
      <c r="B272" s="31" t="s">
        <v>1845</v>
      </c>
      <c r="C272" s="21" t="s">
        <v>1181</v>
      </c>
      <c r="D272" s="34">
        <v>788821001405</v>
      </c>
      <c r="E272" s="22" t="s">
        <v>1895</v>
      </c>
      <c r="F272" s="23">
        <v>2.5000000000000001E-2</v>
      </c>
      <c r="G272" s="26">
        <v>7</v>
      </c>
      <c r="H272" s="25">
        <v>70</v>
      </c>
      <c r="I272" s="25">
        <v>80</v>
      </c>
      <c r="J272" s="25">
        <v>80</v>
      </c>
      <c r="K272" s="25">
        <f t="shared" si="24"/>
        <v>490</v>
      </c>
      <c r="L272" s="25">
        <f t="shared" si="25"/>
        <v>560</v>
      </c>
      <c r="M272" s="14">
        <f t="shared" si="26"/>
        <v>560</v>
      </c>
    </row>
    <row r="273" spans="1:13" hidden="1" x14ac:dyDescent="0.35">
      <c r="A273" s="21" t="s">
        <v>1119</v>
      </c>
      <c r="B273" s="31" t="s">
        <v>1845</v>
      </c>
      <c r="C273" s="21" t="s">
        <v>1181</v>
      </c>
      <c r="D273" s="34">
        <v>788821005205</v>
      </c>
      <c r="E273" s="22" t="s">
        <v>1899</v>
      </c>
      <c r="F273" s="23">
        <v>2.5000000000000001E-2</v>
      </c>
      <c r="G273" s="26">
        <v>1</v>
      </c>
      <c r="H273" s="25">
        <v>70</v>
      </c>
      <c r="I273" s="25">
        <v>80</v>
      </c>
      <c r="J273" s="25">
        <v>80</v>
      </c>
      <c r="K273" s="25">
        <f t="shared" si="24"/>
        <v>70</v>
      </c>
      <c r="L273" s="25">
        <f t="shared" si="25"/>
        <v>80</v>
      </c>
      <c r="M273" s="14">
        <f t="shared" si="26"/>
        <v>80</v>
      </c>
    </row>
    <row r="274" spans="1:13" hidden="1" x14ac:dyDescent="0.35">
      <c r="A274" s="21" t="s">
        <v>1119</v>
      </c>
      <c r="B274" s="31" t="s">
        <v>1845</v>
      </c>
      <c r="C274" s="21" t="s">
        <v>1181</v>
      </c>
      <c r="D274" s="34">
        <v>788821001399</v>
      </c>
      <c r="E274" s="22" t="s">
        <v>1898</v>
      </c>
      <c r="F274" s="23">
        <v>2.5000000000000001E-2</v>
      </c>
      <c r="G274" s="26">
        <v>2</v>
      </c>
      <c r="H274" s="25">
        <v>70</v>
      </c>
      <c r="I274" s="25">
        <v>80</v>
      </c>
      <c r="J274" s="25">
        <v>80</v>
      </c>
      <c r="K274" s="25">
        <f t="shared" si="24"/>
        <v>140</v>
      </c>
      <c r="L274" s="25">
        <f t="shared" si="25"/>
        <v>160</v>
      </c>
      <c r="M274" s="14">
        <f t="shared" si="26"/>
        <v>160</v>
      </c>
    </row>
    <row r="275" spans="1:13" hidden="1" x14ac:dyDescent="0.35">
      <c r="A275" s="21" t="s">
        <v>1119</v>
      </c>
      <c r="B275" s="31" t="s">
        <v>1845</v>
      </c>
      <c r="C275" s="21" t="s">
        <v>1181</v>
      </c>
      <c r="D275" s="34">
        <v>78882100513</v>
      </c>
      <c r="E275" s="22" t="s">
        <v>1897</v>
      </c>
      <c r="F275" s="23">
        <v>2.5000000000000001E-2</v>
      </c>
      <c r="G275" s="26">
        <v>4</v>
      </c>
      <c r="H275" s="25">
        <v>70</v>
      </c>
      <c r="I275" s="25">
        <v>80</v>
      </c>
      <c r="J275" s="25">
        <v>80</v>
      </c>
      <c r="K275" s="25">
        <f t="shared" si="24"/>
        <v>280</v>
      </c>
      <c r="L275" s="25">
        <f t="shared" si="25"/>
        <v>320</v>
      </c>
      <c r="M275" s="14">
        <f t="shared" si="26"/>
        <v>320</v>
      </c>
    </row>
    <row r="276" spans="1:13" hidden="1" x14ac:dyDescent="0.35">
      <c r="A276" s="21" t="s">
        <v>1119</v>
      </c>
      <c r="B276" s="31" t="s">
        <v>1845</v>
      </c>
      <c r="C276" s="21" t="s">
        <v>1181</v>
      </c>
      <c r="D276" s="34">
        <v>788821001344</v>
      </c>
      <c r="E276" s="22" t="s">
        <v>1896</v>
      </c>
      <c r="F276" s="23">
        <v>2.5000000000000001E-2</v>
      </c>
      <c r="G276" s="26">
        <v>8</v>
      </c>
      <c r="H276" s="25">
        <v>70</v>
      </c>
      <c r="I276" s="25">
        <v>80</v>
      </c>
      <c r="J276" s="25">
        <v>80</v>
      </c>
      <c r="K276" s="25">
        <f t="shared" ref="K276:K290" si="27">H276*G276</f>
        <v>560</v>
      </c>
      <c r="L276" s="25">
        <f t="shared" ref="L276:L290" si="28">I276*G276</f>
        <v>640</v>
      </c>
      <c r="M276" s="14">
        <f t="shared" ref="M276:M290" si="29">J276*G276</f>
        <v>640</v>
      </c>
    </row>
    <row r="277" spans="1:13" hidden="1" x14ac:dyDescent="0.35">
      <c r="A277" s="21" t="s">
        <v>1119</v>
      </c>
      <c r="B277" s="31" t="s">
        <v>1845</v>
      </c>
      <c r="C277" s="21" t="s">
        <v>1181</v>
      </c>
      <c r="D277" s="34">
        <v>788821151445</v>
      </c>
      <c r="E277" s="22" t="s">
        <v>1892</v>
      </c>
      <c r="F277" s="23">
        <v>4.4999999999999998E-2</v>
      </c>
      <c r="G277" s="26">
        <v>1</v>
      </c>
      <c r="H277" s="25">
        <v>125</v>
      </c>
      <c r="I277" s="25">
        <v>145</v>
      </c>
      <c r="J277" s="25">
        <v>150</v>
      </c>
      <c r="K277" s="25">
        <f t="shared" si="27"/>
        <v>125</v>
      </c>
      <c r="L277" s="25">
        <f t="shared" si="28"/>
        <v>145</v>
      </c>
      <c r="M277" s="14">
        <f t="shared" si="29"/>
        <v>150</v>
      </c>
    </row>
    <row r="278" spans="1:13" hidden="1" x14ac:dyDescent="0.35">
      <c r="A278" s="21" t="s">
        <v>1119</v>
      </c>
      <c r="B278" s="31" t="s">
        <v>1845</v>
      </c>
      <c r="C278" s="21" t="s">
        <v>1181</v>
      </c>
      <c r="D278" s="34">
        <v>788821151278</v>
      </c>
      <c r="E278" s="22" t="s">
        <v>1891</v>
      </c>
      <c r="F278" s="23">
        <v>0.05</v>
      </c>
      <c r="G278" s="26">
        <v>2</v>
      </c>
      <c r="H278" s="25">
        <v>120</v>
      </c>
      <c r="I278" s="25">
        <v>140</v>
      </c>
      <c r="J278" s="25">
        <v>140</v>
      </c>
      <c r="K278" s="25">
        <f t="shared" si="27"/>
        <v>240</v>
      </c>
      <c r="L278" s="25">
        <f t="shared" si="28"/>
        <v>280</v>
      </c>
      <c r="M278" s="14">
        <f t="shared" si="29"/>
        <v>280</v>
      </c>
    </row>
    <row r="279" spans="1:13" hidden="1" x14ac:dyDescent="0.35">
      <c r="A279" s="21" t="s">
        <v>1119</v>
      </c>
      <c r="B279" s="31" t="s">
        <v>1845</v>
      </c>
      <c r="C279" s="21" t="s">
        <v>1181</v>
      </c>
      <c r="D279" s="34" t="s">
        <v>1306</v>
      </c>
      <c r="E279" s="22" t="s">
        <v>1307</v>
      </c>
      <c r="F279" s="23">
        <v>2.5000000000000001E-2</v>
      </c>
      <c r="G279" s="26">
        <v>2</v>
      </c>
      <c r="H279" s="25">
        <v>96.67</v>
      </c>
      <c r="I279" s="25">
        <v>110</v>
      </c>
      <c r="J279" s="25">
        <v>110</v>
      </c>
      <c r="K279" s="25">
        <f t="shared" si="27"/>
        <v>193.34</v>
      </c>
      <c r="L279" s="25">
        <f t="shared" si="28"/>
        <v>220</v>
      </c>
      <c r="M279" s="14">
        <f t="shared" si="29"/>
        <v>220</v>
      </c>
    </row>
    <row r="280" spans="1:13" hidden="1" x14ac:dyDescent="0.35">
      <c r="A280" s="21" t="s">
        <v>1119</v>
      </c>
      <c r="B280" s="31" t="s">
        <v>1845</v>
      </c>
      <c r="C280" s="21" t="s">
        <v>1181</v>
      </c>
      <c r="D280" s="34" t="s">
        <v>1312</v>
      </c>
      <c r="E280" s="22" t="s">
        <v>1313</v>
      </c>
      <c r="F280" s="23">
        <v>0</v>
      </c>
      <c r="G280" s="26">
        <v>1</v>
      </c>
      <c r="H280" s="25">
        <v>129</v>
      </c>
      <c r="I280" s="25">
        <v>140</v>
      </c>
      <c r="J280" s="25">
        <v>145</v>
      </c>
      <c r="K280" s="25">
        <f t="shared" si="27"/>
        <v>129</v>
      </c>
      <c r="L280" s="25">
        <f t="shared" si="28"/>
        <v>140</v>
      </c>
      <c r="M280" s="14">
        <f t="shared" si="29"/>
        <v>145</v>
      </c>
    </row>
    <row r="281" spans="1:13" hidden="1" x14ac:dyDescent="0.35">
      <c r="A281" s="21" t="s">
        <v>1119</v>
      </c>
      <c r="B281" s="31" t="s">
        <v>1120</v>
      </c>
      <c r="C281" s="21" t="s">
        <v>1121</v>
      </c>
      <c r="D281" s="34">
        <v>620514009896</v>
      </c>
      <c r="E281" s="22" t="s">
        <v>1149</v>
      </c>
      <c r="F281" s="23">
        <v>2.5000000000000001E-2</v>
      </c>
      <c r="G281" s="26">
        <v>6</v>
      </c>
      <c r="H281" s="25">
        <v>71.972999999999999</v>
      </c>
      <c r="I281" s="25">
        <v>80</v>
      </c>
      <c r="J281" s="25">
        <v>80</v>
      </c>
      <c r="K281" s="25">
        <f t="shared" si="27"/>
        <v>431.83799999999997</v>
      </c>
      <c r="L281" s="25">
        <f t="shared" si="28"/>
        <v>480</v>
      </c>
      <c r="M281" s="14">
        <f t="shared" si="29"/>
        <v>480</v>
      </c>
    </row>
    <row r="282" spans="1:13" hidden="1" x14ac:dyDescent="0.35">
      <c r="A282" s="21" t="s">
        <v>1119</v>
      </c>
      <c r="B282" s="31" t="s">
        <v>1120</v>
      </c>
      <c r="C282" s="21" t="s">
        <v>1121</v>
      </c>
      <c r="D282" s="34">
        <v>620514009919</v>
      </c>
      <c r="E282" s="22" t="s">
        <v>1902</v>
      </c>
      <c r="F282" s="23">
        <v>2.5000000000000001E-2</v>
      </c>
      <c r="G282" s="26">
        <v>3</v>
      </c>
      <c r="H282" s="25">
        <v>71.972999999999999</v>
      </c>
      <c r="I282" s="25">
        <v>80</v>
      </c>
      <c r="J282" s="25">
        <v>80</v>
      </c>
      <c r="K282" s="25">
        <f t="shared" si="27"/>
        <v>215.91899999999998</v>
      </c>
      <c r="L282" s="25">
        <f t="shared" si="28"/>
        <v>240</v>
      </c>
      <c r="M282" s="14">
        <f t="shared" si="29"/>
        <v>240</v>
      </c>
    </row>
    <row r="283" spans="1:13" hidden="1" x14ac:dyDescent="0.35">
      <c r="A283" s="21" t="s">
        <v>1119</v>
      </c>
      <c r="B283" s="31" t="s">
        <v>1120</v>
      </c>
      <c r="C283" s="21" t="s">
        <v>1121</v>
      </c>
      <c r="D283" s="34">
        <v>620514012872</v>
      </c>
      <c r="E283" s="22" t="s">
        <v>1903</v>
      </c>
      <c r="F283" s="23">
        <v>2.5000000000000001E-2</v>
      </c>
      <c r="G283" s="26">
        <v>3</v>
      </c>
      <c r="H283" s="25">
        <v>71.972999999999999</v>
      </c>
      <c r="I283" s="25">
        <v>80</v>
      </c>
      <c r="J283" s="25">
        <v>80</v>
      </c>
      <c r="K283" s="25">
        <f t="shared" si="27"/>
        <v>215.91899999999998</v>
      </c>
      <c r="L283" s="25">
        <f t="shared" si="28"/>
        <v>240</v>
      </c>
      <c r="M283" s="14">
        <f t="shared" si="29"/>
        <v>240</v>
      </c>
    </row>
    <row r="284" spans="1:13" hidden="1" x14ac:dyDescent="0.35">
      <c r="A284" s="21" t="s">
        <v>1119</v>
      </c>
      <c r="B284" s="31" t="s">
        <v>1120</v>
      </c>
      <c r="C284" s="21" t="s">
        <v>1121</v>
      </c>
      <c r="D284" s="34">
        <v>620514009971</v>
      </c>
      <c r="E284" s="22" t="s">
        <v>1900</v>
      </c>
      <c r="F284" s="23">
        <v>2.5000000000000001E-2</v>
      </c>
      <c r="G284" s="26">
        <v>6</v>
      </c>
      <c r="H284" s="25">
        <v>71.972999999999999</v>
      </c>
      <c r="I284" s="25">
        <v>80</v>
      </c>
      <c r="J284" s="25">
        <v>80</v>
      </c>
      <c r="K284" s="25">
        <f t="shared" si="27"/>
        <v>431.83799999999997</v>
      </c>
      <c r="L284" s="25">
        <f t="shared" si="28"/>
        <v>480</v>
      </c>
      <c r="M284" s="14">
        <f t="shared" si="29"/>
        <v>480</v>
      </c>
    </row>
    <row r="285" spans="1:13" hidden="1" x14ac:dyDescent="0.35">
      <c r="A285" s="21" t="s">
        <v>1119</v>
      </c>
      <c r="B285" s="31" t="s">
        <v>1120</v>
      </c>
      <c r="C285" s="21" t="s">
        <v>1121</v>
      </c>
      <c r="D285" s="34" t="s">
        <v>1173</v>
      </c>
      <c r="E285" s="22" t="s">
        <v>1174</v>
      </c>
      <c r="F285" s="23">
        <v>0.8</v>
      </c>
      <c r="G285" s="26">
        <v>3</v>
      </c>
      <c r="H285" s="25">
        <v>48.75</v>
      </c>
      <c r="I285" s="25">
        <v>60</v>
      </c>
      <c r="J285" s="25">
        <v>60</v>
      </c>
      <c r="K285" s="25">
        <f t="shared" si="27"/>
        <v>146.25</v>
      </c>
      <c r="L285" s="25">
        <f t="shared" si="28"/>
        <v>180</v>
      </c>
      <c r="M285" s="14">
        <f t="shared" si="29"/>
        <v>180</v>
      </c>
    </row>
    <row r="286" spans="1:13" hidden="1" x14ac:dyDescent="0.35">
      <c r="A286" s="21" t="s">
        <v>1119</v>
      </c>
      <c r="B286" s="31" t="s">
        <v>1120</v>
      </c>
      <c r="C286" s="21" t="s">
        <v>1121</v>
      </c>
      <c r="D286" s="34" t="s">
        <v>1179</v>
      </c>
      <c r="E286" s="22" t="s">
        <v>1180</v>
      </c>
      <c r="F286" s="23">
        <v>1.4999999999999999E-2</v>
      </c>
      <c r="G286" s="26">
        <v>4</v>
      </c>
      <c r="H286" s="25">
        <v>35</v>
      </c>
      <c r="I286" s="25">
        <v>40</v>
      </c>
      <c r="J286" s="25">
        <v>40</v>
      </c>
      <c r="K286" s="25">
        <f t="shared" si="27"/>
        <v>140</v>
      </c>
      <c r="L286" s="25">
        <f t="shared" si="28"/>
        <v>160</v>
      </c>
      <c r="M286" s="14">
        <f t="shared" si="29"/>
        <v>160</v>
      </c>
    </row>
    <row r="287" spans="1:13" hidden="1" x14ac:dyDescent="0.35">
      <c r="A287" s="21" t="s">
        <v>1119</v>
      </c>
      <c r="B287" s="31" t="s">
        <v>1120</v>
      </c>
      <c r="C287" s="21" t="s">
        <v>1121</v>
      </c>
      <c r="D287" s="34" t="s">
        <v>1150</v>
      </c>
      <c r="E287" s="22" t="s">
        <v>1151</v>
      </c>
      <c r="F287" s="23">
        <v>0.05</v>
      </c>
      <c r="G287" s="26">
        <v>4</v>
      </c>
      <c r="H287" s="25">
        <v>71.97</v>
      </c>
      <c r="I287" s="25">
        <v>80</v>
      </c>
      <c r="J287" s="25">
        <v>80</v>
      </c>
      <c r="K287" s="25">
        <f t="shared" si="27"/>
        <v>287.88</v>
      </c>
      <c r="L287" s="25">
        <f t="shared" si="28"/>
        <v>320</v>
      </c>
      <c r="M287" s="14">
        <f t="shared" si="29"/>
        <v>320</v>
      </c>
    </row>
    <row r="288" spans="1:13" hidden="1" x14ac:dyDescent="0.35">
      <c r="A288" s="21" t="s">
        <v>1119</v>
      </c>
      <c r="B288" s="31" t="s">
        <v>1120</v>
      </c>
      <c r="C288" s="21" t="s">
        <v>1121</v>
      </c>
      <c r="D288" s="34" t="s">
        <v>1171</v>
      </c>
      <c r="E288" s="22" t="s">
        <v>1172</v>
      </c>
      <c r="F288" s="23">
        <v>0.8</v>
      </c>
      <c r="G288" s="26">
        <v>7</v>
      </c>
      <c r="H288" s="25">
        <v>48.75</v>
      </c>
      <c r="I288" s="25">
        <v>60</v>
      </c>
      <c r="J288" s="25">
        <v>70</v>
      </c>
      <c r="K288" s="25">
        <f t="shared" si="27"/>
        <v>341.25</v>
      </c>
      <c r="L288" s="25">
        <f t="shared" si="28"/>
        <v>420</v>
      </c>
      <c r="M288" s="14">
        <f t="shared" si="29"/>
        <v>490</v>
      </c>
    </row>
    <row r="289" spans="1:13" hidden="1" x14ac:dyDescent="0.35">
      <c r="A289" s="21" t="s">
        <v>1119</v>
      </c>
      <c r="B289" s="31" t="s">
        <v>1120</v>
      </c>
      <c r="C289" s="21" t="s">
        <v>1121</v>
      </c>
      <c r="D289" s="34" t="s">
        <v>1154</v>
      </c>
      <c r="E289" s="22" t="s">
        <v>1862</v>
      </c>
      <c r="F289" s="23">
        <v>0</v>
      </c>
      <c r="G289" s="26">
        <v>10</v>
      </c>
      <c r="H289" s="25">
        <v>68.86</v>
      </c>
      <c r="I289" s="25">
        <v>80</v>
      </c>
      <c r="J289" s="25">
        <v>80</v>
      </c>
      <c r="K289" s="25">
        <f t="shared" si="27"/>
        <v>688.6</v>
      </c>
      <c r="L289" s="25">
        <f t="shared" si="28"/>
        <v>800</v>
      </c>
      <c r="M289" s="14">
        <f t="shared" si="29"/>
        <v>800</v>
      </c>
    </row>
    <row r="290" spans="1:13" hidden="1" x14ac:dyDescent="0.35">
      <c r="A290" s="21" t="s">
        <v>1119</v>
      </c>
      <c r="B290" s="31" t="s">
        <v>1120</v>
      </c>
      <c r="C290" s="21" t="s">
        <v>1121</v>
      </c>
      <c r="D290" s="34" t="s">
        <v>1148</v>
      </c>
      <c r="E290" s="22" t="s">
        <v>1149</v>
      </c>
      <c r="F290" s="23">
        <v>0</v>
      </c>
      <c r="G290" s="26">
        <v>10</v>
      </c>
      <c r="H290" s="25">
        <v>68.86</v>
      </c>
      <c r="I290" s="25">
        <v>80</v>
      </c>
      <c r="J290" s="25">
        <v>80</v>
      </c>
      <c r="K290" s="25">
        <f t="shared" si="27"/>
        <v>688.6</v>
      </c>
      <c r="L290" s="25">
        <f t="shared" si="28"/>
        <v>800</v>
      </c>
      <c r="M290" s="14">
        <f t="shared" si="29"/>
        <v>800</v>
      </c>
    </row>
    <row r="291" spans="1:13" ht="15" hidden="1" customHeight="1" x14ac:dyDescent="0.35">
      <c r="A291" s="21" t="s">
        <v>1119</v>
      </c>
      <c r="B291" s="31" t="s">
        <v>1846</v>
      </c>
      <c r="C291" s="21" t="s">
        <v>1325</v>
      </c>
      <c r="D291" s="34" t="s">
        <v>1326</v>
      </c>
      <c r="E291" s="22" t="s">
        <v>1327</v>
      </c>
      <c r="F291" s="23">
        <v>0.12</v>
      </c>
      <c r="G291" s="26">
        <v>3</v>
      </c>
      <c r="H291" s="25">
        <v>68.13</v>
      </c>
      <c r="I291" s="25">
        <v>80</v>
      </c>
      <c r="J291" s="25">
        <v>80</v>
      </c>
      <c r="K291" s="25">
        <f t="shared" ref="K291:K298" si="30">H291*G291</f>
        <v>204.39</v>
      </c>
      <c r="L291" s="25">
        <f t="shared" ref="L291:L298" si="31">I291*G291</f>
        <v>240</v>
      </c>
      <c r="M291" s="14">
        <f t="shared" ref="M291:M298" si="32">J291*G291</f>
        <v>240</v>
      </c>
    </row>
    <row r="292" spans="1:13" hidden="1" x14ac:dyDescent="0.35">
      <c r="A292" s="21" t="s">
        <v>1119</v>
      </c>
      <c r="B292" s="31" t="s">
        <v>1846</v>
      </c>
      <c r="C292" s="21" t="s">
        <v>1325</v>
      </c>
      <c r="D292" s="34" t="s">
        <v>1328</v>
      </c>
      <c r="E292" s="22" t="s">
        <v>1329</v>
      </c>
      <c r="F292" s="23">
        <v>0.27500000000000002</v>
      </c>
      <c r="G292" s="26">
        <v>3</v>
      </c>
      <c r="H292" s="25">
        <v>133.66</v>
      </c>
      <c r="I292" s="25">
        <v>150</v>
      </c>
      <c r="J292" s="25">
        <v>150</v>
      </c>
      <c r="K292" s="25">
        <f t="shared" si="30"/>
        <v>400.98</v>
      </c>
      <c r="L292" s="25">
        <f t="shared" si="31"/>
        <v>450</v>
      </c>
      <c r="M292" s="14">
        <f t="shared" si="32"/>
        <v>450</v>
      </c>
    </row>
    <row r="293" spans="1:13" hidden="1" x14ac:dyDescent="0.35">
      <c r="A293" s="21" t="s">
        <v>1119</v>
      </c>
      <c r="B293" s="31" t="s">
        <v>1846</v>
      </c>
      <c r="C293" s="21" t="s">
        <v>1325</v>
      </c>
      <c r="D293" s="34" t="s">
        <v>1330</v>
      </c>
      <c r="E293" s="22" t="s">
        <v>1331</v>
      </c>
      <c r="F293" s="23">
        <v>0.12</v>
      </c>
      <c r="G293" s="26">
        <v>4</v>
      </c>
      <c r="H293" s="25">
        <v>73.37</v>
      </c>
      <c r="I293" s="25">
        <v>90</v>
      </c>
      <c r="J293" s="25">
        <v>100</v>
      </c>
      <c r="K293" s="25">
        <f t="shared" si="30"/>
        <v>293.48</v>
      </c>
      <c r="L293" s="25">
        <f t="shared" si="31"/>
        <v>360</v>
      </c>
      <c r="M293" s="14">
        <f t="shared" si="32"/>
        <v>400</v>
      </c>
    </row>
    <row r="294" spans="1:13" hidden="1" x14ac:dyDescent="0.35">
      <c r="A294" s="21" t="s">
        <v>1119</v>
      </c>
      <c r="B294" s="31" t="s">
        <v>1846</v>
      </c>
      <c r="C294" s="21" t="s">
        <v>1325</v>
      </c>
      <c r="D294" s="34" t="s">
        <v>1332</v>
      </c>
      <c r="E294" s="22" t="s">
        <v>1333</v>
      </c>
      <c r="F294" s="23">
        <v>0.27500000000000002</v>
      </c>
      <c r="G294" s="26">
        <v>3</v>
      </c>
      <c r="H294" s="25">
        <v>141.19999999999999</v>
      </c>
      <c r="I294" s="25">
        <v>160</v>
      </c>
      <c r="J294" s="25">
        <v>180</v>
      </c>
      <c r="K294" s="25">
        <f t="shared" si="30"/>
        <v>423.59999999999997</v>
      </c>
      <c r="L294" s="25">
        <f t="shared" si="31"/>
        <v>480</v>
      </c>
      <c r="M294" s="14">
        <f t="shared" si="32"/>
        <v>540</v>
      </c>
    </row>
    <row r="295" spans="1:13" hidden="1" x14ac:dyDescent="0.35">
      <c r="A295" s="21" t="s">
        <v>1119</v>
      </c>
      <c r="B295" s="31" t="s">
        <v>1846</v>
      </c>
      <c r="C295" s="21" t="s">
        <v>1325</v>
      </c>
      <c r="D295" s="34" t="s">
        <v>1334</v>
      </c>
      <c r="E295" s="22" t="s">
        <v>1335</v>
      </c>
      <c r="F295" s="23">
        <v>0.12</v>
      </c>
      <c r="G295" s="26">
        <v>3</v>
      </c>
      <c r="H295" s="25">
        <v>59.3</v>
      </c>
      <c r="I295" s="25">
        <v>70</v>
      </c>
      <c r="J295" s="25">
        <v>80</v>
      </c>
      <c r="K295" s="25">
        <f t="shared" si="30"/>
        <v>177.89999999999998</v>
      </c>
      <c r="L295" s="25">
        <f t="shared" si="31"/>
        <v>210</v>
      </c>
      <c r="M295" s="14">
        <f t="shared" si="32"/>
        <v>240</v>
      </c>
    </row>
    <row r="296" spans="1:13" hidden="1" x14ac:dyDescent="0.35">
      <c r="A296" s="21" t="s">
        <v>1119</v>
      </c>
      <c r="B296" s="31" t="s">
        <v>1846</v>
      </c>
      <c r="C296" s="21" t="s">
        <v>1325</v>
      </c>
      <c r="D296" s="34" t="s">
        <v>1336</v>
      </c>
      <c r="E296" s="22" t="s">
        <v>1337</v>
      </c>
      <c r="F296" s="23">
        <v>0.3</v>
      </c>
      <c r="G296" s="26">
        <v>3</v>
      </c>
      <c r="H296" s="25">
        <v>108.54</v>
      </c>
      <c r="I296" s="25">
        <v>120</v>
      </c>
      <c r="J296" s="25">
        <v>120</v>
      </c>
      <c r="K296" s="25">
        <f t="shared" si="30"/>
        <v>325.62</v>
      </c>
      <c r="L296" s="25">
        <f t="shared" si="31"/>
        <v>360</v>
      </c>
      <c r="M296" s="14">
        <f t="shared" si="32"/>
        <v>360</v>
      </c>
    </row>
    <row r="297" spans="1:13" hidden="1" x14ac:dyDescent="0.35">
      <c r="A297" s="21" t="s">
        <v>1119</v>
      </c>
      <c r="B297" s="31" t="s">
        <v>1846</v>
      </c>
      <c r="C297" s="21" t="s">
        <v>1325</v>
      </c>
      <c r="D297" s="34" t="s">
        <v>1338</v>
      </c>
      <c r="E297" s="22" t="s">
        <v>1339</v>
      </c>
      <c r="F297" s="23">
        <v>0.7</v>
      </c>
      <c r="G297" s="26">
        <v>3</v>
      </c>
      <c r="H297" s="25">
        <v>178.7</v>
      </c>
      <c r="I297" s="25">
        <v>200</v>
      </c>
      <c r="J297" s="25">
        <v>220</v>
      </c>
      <c r="K297" s="25">
        <f t="shared" si="30"/>
        <v>536.09999999999991</v>
      </c>
      <c r="L297" s="25">
        <f t="shared" si="31"/>
        <v>600</v>
      </c>
      <c r="M297" s="14">
        <f t="shared" si="32"/>
        <v>660</v>
      </c>
    </row>
    <row r="298" spans="1:13" hidden="1" x14ac:dyDescent="0.35">
      <c r="A298" s="21" t="s">
        <v>1119</v>
      </c>
      <c r="B298" s="31" t="s">
        <v>1846</v>
      </c>
      <c r="C298" s="21" t="s">
        <v>1325</v>
      </c>
      <c r="D298" s="34" t="s">
        <v>1342</v>
      </c>
      <c r="E298" s="22" t="s">
        <v>1343</v>
      </c>
      <c r="F298" s="23">
        <v>0.22500000000000001</v>
      </c>
      <c r="G298" s="26">
        <v>2</v>
      </c>
      <c r="H298" s="25">
        <v>104.52</v>
      </c>
      <c r="I298" s="25">
        <v>130</v>
      </c>
      <c r="J298" s="25">
        <v>130</v>
      </c>
      <c r="K298" s="25">
        <f t="shared" si="30"/>
        <v>209.04</v>
      </c>
      <c r="L298" s="25">
        <f t="shared" si="31"/>
        <v>260</v>
      </c>
      <c r="M298" s="14">
        <f t="shared" si="32"/>
        <v>260</v>
      </c>
    </row>
    <row r="299" spans="1:13" hidden="1" x14ac:dyDescent="0.35">
      <c r="A299" s="21" t="s">
        <v>1119</v>
      </c>
      <c r="B299" s="31" t="s">
        <v>1846</v>
      </c>
      <c r="C299" s="21" t="s">
        <v>1325</v>
      </c>
      <c r="D299" s="34" t="s">
        <v>1348</v>
      </c>
      <c r="E299" s="22" t="s">
        <v>1349</v>
      </c>
      <c r="F299" s="23">
        <v>0.2</v>
      </c>
      <c r="G299" s="26">
        <v>2</v>
      </c>
      <c r="H299" s="25">
        <v>88.77</v>
      </c>
      <c r="I299" s="25">
        <v>100</v>
      </c>
      <c r="J299" s="25">
        <v>100</v>
      </c>
      <c r="K299" s="25">
        <f t="shared" ref="K299:K325" si="33">H299*G299</f>
        <v>177.54</v>
      </c>
      <c r="L299" s="25">
        <f t="shared" ref="L299:L325" si="34">I299*G299</f>
        <v>200</v>
      </c>
      <c r="M299" s="14">
        <f t="shared" ref="M299:M325" si="35">J299*G299</f>
        <v>200</v>
      </c>
    </row>
    <row r="300" spans="1:13" hidden="1" x14ac:dyDescent="0.35">
      <c r="A300" s="21" t="s">
        <v>1119</v>
      </c>
      <c r="B300" s="31" t="s">
        <v>1846</v>
      </c>
      <c r="C300" s="21" t="s">
        <v>1325</v>
      </c>
      <c r="D300" s="34" t="s">
        <v>1354</v>
      </c>
      <c r="E300" s="22" t="s">
        <v>1355</v>
      </c>
      <c r="F300" s="23">
        <v>0.27500000000000002</v>
      </c>
      <c r="G300" s="26">
        <v>4</v>
      </c>
      <c r="H300" s="25">
        <v>363.31</v>
      </c>
      <c r="I300" s="25">
        <v>400</v>
      </c>
      <c r="J300" s="25">
        <v>420</v>
      </c>
      <c r="K300" s="25">
        <f t="shared" si="33"/>
        <v>1453.24</v>
      </c>
      <c r="L300" s="25">
        <f t="shared" si="34"/>
        <v>1600</v>
      </c>
      <c r="M300" s="14">
        <f t="shared" si="35"/>
        <v>1680</v>
      </c>
    </row>
    <row r="301" spans="1:13" hidden="1" x14ac:dyDescent="0.35">
      <c r="A301" s="21" t="s">
        <v>1119</v>
      </c>
      <c r="B301" s="31" t="s">
        <v>1846</v>
      </c>
      <c r="C301" s="21" t="s">
        <v>1325</v>
      </c>
      <c r="D301" s="34" t="s">
        <v>1356</v>
      </c>
      <c r="E301" s="22" t="s">
        <v>1357</v>
      </c>
      <c r="F301" s="23">
        <v>0.12</v>
      </c>
      <c r="G301" s="26">
        <v>3</v>
      </c>
      <c r="H301" s="25">
        <v>200.5</v>
      </c>
      <c r="I301" s="25">
        <v>230</v>
      </c>
      <c r="J301" s="25">
        <v>250</v>
      </c>
      <c r="K301" s="25">
        <f t="shared" si="33"/>
        <v>601.5</v>
      </c>
      <c r="L301" s="25">
        <f t="shared" si="34"/>
        <v>690</v>
      </c>
      <c r="M301" s="14">
        <f t="shared" si="35"/>
        <v>750</v>
      </c>
    </row>
    <row r="302" spans="1:13" hidden="1" x14ac:dyDescent="0.35">
      <c r="A302" s="21" t="s">
        <v>1119</v>
      </c>
      <c r="B302" s="31" t="s">
        <v>1846</v>
      </c>
      <c r="C302" s="21" t="s">
        <v>1325</v>
      </c>
      <c r="D302" s="34" t="s">
        <v>1358</v>
      </c>
      <c r="E302" s="22" t="s">
        <v>1359</v>
      </c>
      <c r="F302" s="23">
        <v>0.21</v>
      </c>
      <c r="G302" s="26">
        <v>1</v>
      </c>
      <c r="H302" s="25">
        <v>105</v>
      </c>
      <c r="I302" s="25">
        <v>130</v>
      </c>
      <c r="J302" s="25">
        <v>130</v>
      </c>
      <c r="K302" s="25">
        <f t="shared" si="33"/>
        <v>105</v>
      </c>
      <c r="L302" s="25">
        <f t="shared" si="34"/>
        <v>130</v>
      </c>
      <c r="M302" s="14">
        <f t="shared" si="35"/>
        <v>130</v>
      </c>
    </row>
    <row r="303" spans="1:13" hidden="1" x14ac:dyDescent="0.35">
      <c r="A303" s="21" t="s">
        <v>1119</v>
      </c>
      <c r="B303" s="31" t="s">
        <v>1846</v>
      </c>
      <c r="C303" s="21" t="s">
        <v>1325</v>
      </c>
      <c r="D303" s="34">
        <v>8964000020197</v>
      </c>
      <c r="E303" s="22" t="s">
        <v>1878</v>
      </c>
      <c r="F303" s="23">
        <v>0.7</v>
      </c>
      <c r="G303" s="26">
        <v>1</v>
      </c>
      <c r="H303" s="25">
        <v>269</v>
      </c>
      <c r="I303" s="25">
        <v>300</v>
      </c>
      <c r="J303" s="25">
        <v>300</v>
      </c>
      <c r="K303" s="25">
        <f t="shared" si="33"/>
        <v>269</v>
      </c>
      <c r="L303" s="25">
        <f t="shared" si="34"/>
        <v>300</v>
      </c>
      <c r="M303" s="14">
        <f t="shared" si="35"/>
        <v>300</v>
      </c>
    </row>
    <row r="304" spans="1:13" hidden="1" x14ac:dyDescent="0.35">
      <c r="A304" s="21" t="s">
        <v>1119</v>
      </c>
      <c r="B304" s="31" t="s">
        <v>1846</v>
      </c>
      <c r="C304" s="21" t="s">
        <v>1325</v>
      </c>
      <c r="D304" s="34">
        <v>8964000020098</v>
      </c>
      <c r="E304" s="22" t="s">
        <v>1879</v>
      </c>
      <c r="F304" s="23">
        <v>0.7</v>
      </c>
      <c r="G304" s="26">
        <v>1</v>
      </c>
      <c r="H304" s="25">
        <v>258.8</v>
      </c>
      <c r="I304" s="25">
        <v>290</v>
      </c>
      <c r="J304" s="25">
        <v>290</v>
      </c>
      <c r="K304" s="25">
        <f t="shared" si="33"/>
        <v>258.8</v>
      </c>
      <c r="L304" s="25">
        <f t="shared" si="34"/>
        <v>290</v>
      </c>
      <c r="M304" s="14">
        <f t="shared" si="35"/>
        <v>290</v>
      </c>
    </row>
    <row r="305" spans="1:13" hidden="1" x14ac:dyDescent="0.35">
      <c r="A305" s="21" t="s">
        <v>1119</v>
      </c>
      <c r="B305" s="31" t="s">
        <v>1846</v>
      </c>
      <c r="C305" s="21" t="s">
        <v>1325</v>
      </c>
      <c r="D305" s="34" t="s">
        <v>1366</v>
      </c>
      <c r="E305" s="22" t="s">
        <v>1367</v>
      </c>
      <c r="F305" s="23">
        <v>0.39</v>
      </c>
      <c r="G305" s="26">
        <v>2</v>
      </c>
      <c r="H305" s="25">
        <v>347.73</v>
      </c>
      <c r="I305" s="25">
        <v>400</v>
      </c>
      <c r="J305" s="25">
        <v>400</v>
      </c>
      <c r="K305" s="25">
        <f t="shared" si="33"/>
        <v>695.46</v>
      </c>
      <c r="L305" s="25">
        <f t="shared" si="34"/>
        <v>800</v>
      </c>
      <c r="M305" s="14">
        <f t="shared" si="35"/>
        <v>800</v>
      </c>
    </row>
    <row r="306" spans="1:13" hidden="1" x14ac:dyDescent="0.35">
      <c r="A306" s="21" t="s">
        <v>1372</v>
      </c>
      <c r="B306" s="21" t="s">
        <v>1863</v>
      </c>
      <c r="C306" s="21" t="s">
        <v>1390</v>
      </c>
      <c r="D306" s="34" t="s">
        <v>1397</v>
      </c>
      <c r="E306" s="22" t="s">
        <v>1398</v>
      </c>
      <c r="F306" s="23">
        <v>0</v>
      </c>
      <c r="G306" s="26">
        <v>2</v>
      </c>
      <c r="H306" s="25">
        <v>363.72</v>
      </c>
      <c r="I306" s="25">
        <v>420</v>
      </c>
      <c r="J306" s="25">
        <v>450</v>
      </c>
      <c r="K306" s="25">
        <f t="shared" si="33"/>
        <v>727.44</v>
      </c>
      <c r="L306" s="25">
        <f t="shared" si="34"/>
        <v>840</v>
      </c>
      <c r="M306" s="14">
        <f t="shared" si="35"/>
        <v>900</v>
      </c>
    </row>
    <row r="307" spans="1:13" hidden="1" x14ac:dyDescent="0.35">
      <c r="A307" s="21" t="s">
        <v>1411</v>
      </c>
      <c r="B307" s="21" t="s">
        <v>1415</v>
      </c>
      <c r="C307" s="21" t="s">
        <v>1415</v>
      </c>
      <c r="D307" s="34" t="s">
        <v>1425</v>
      </c>
      <c r="E307" s="22" t="s">
        <v>1426</v>
      </c>
      <c r="F307" s="23">
        <v>2.75</v>
      </c>
      <c r="G307" s="26">
        <v>4</v>
      </c>
      <c r="H307" s="25">
        <v>140</v>
      </c>
      <c r="I307" s="25">
        <v>200</v>
      </c>
      <c r="J307" s="25">
        <v>200</v>
      </c>
      <c r="K307" s="25">
        <f t="shared" si="33"/>
        <v>560</v>
      </c>
      <c r="L307" s="25">
        <f t="shared" si="34"/>
        <v>800</v>
      </c>
      <c r="M307" s="14">
        <f t="shared" si="35"/>
        <v>800</v>
      </c>
    </row>
    <row r="308" spans="1:13" hidden="1" x14ac:dyDescent="0.35">
      <c r="A308" s="21" t="s">
        <v>1372</v>
      </c>
      <c r="B308" s="21" t="s">
        <v>1865</v>
      </c>
      <c r="C308" s="21" t="s">
        <v>1374</v>
      </c>
      <c r="D308" s="34" t="s">
        <v>1385</v>
      </c>
      <c r="E308" s="22" t="s">
        <v>1386</v>
      </c>
      <c r="F308" s="23">
        <v>0</v>
      </c>
      <c r="G308" s="26">
        <v>4</v>
      </c>
      <c r="H308" s="25">
        <v>488</v>
      </c>
      <c r="I308" s="25">
        <v>550</v>
      </c>
      <c r="J308" s="25">
        <v>550</v>
      </c>
      <c r="K308" s="25">
        <f t="shared" si="33"/>
        <v>1952</v>
      </c>
      <c r="L308" s="25">
        <f t="shared" si="34"/>
        <v>2200</v>
      </c>
      <c r="M308" s="14">
        <f t="shared" si="35"/>
        <v>2200</v>
      </c>
    </row>
    <row r="309" spans="1:13" hidden="1" x14ac:dyDescent="0.35">
      <c r="A309" s="21" t="s">
        <v>1372</v>
      </c>
      <c r="B309" s="21" t="s">
        <v>1863</v>
      </c>
      <c r="C309" s="21" t="s">
        <v>1390</v>
      </c>
      <c r="D309" s="34" t="s">
        <v>1399</v>
      </c>
      <c r="E309" s="22" t="s">
        <v>1400</v>
      </c>
      <c r="F309" s="23">
        <v>0</v>
      </c>
      <c r="G309" s="26">
        <v>1</v>
      </c>
      <c r="H309" s="25">
        <v>184.57</v>
      </c>
      <c r="I309" s="25">
        <v>220</v>
      </c>
      <c r="J309" s="25">
        <v>220</v>
      </c>
      <c r="K309" s="25">
        <f t="shared" si="33"/>
        <v>184.57</v>
      </c>
      <c r="L309" s="25">
        <f t="shared" si="34"/>
        <v>220</v>
      </c>
      <c r="M309" s="14">
        <f t="shared" si="35"/>
        <v>220</v>
      </c>
    </row>
    <row r="310" spans="1:13" hidden="1" x14ac:dyDescent="0.35">
      <c r="A310" s="21" t="s">
        <v>1372</v>
      </c>
      <c r="B310" s="21" t="s">
        <v>1373</v>
      </c>
      <c r="C310" s="21" t="s">
        <v>1390</v>
      </c>
      <c r="D310" s="34" t="s">
        <v>1391</v>
      </c>
      <c r="E310" s="22" t="s">
        <v>1392</v>
      </c>
      <c r="F310" s="23">
        <v>0</v>
      </c>
      <c r="G310" s="26">
        <v>1</v>
      </c>
      <c r="H310" s="25">
        <v>2736.14</v>
      </c>
      <c r="I310" s="25">
        <v>2800</v>
      </c>
      <c r="J310" s="25">
        <v>2800</v>
      </c>
      <c r="K310" s="25">
        <f t="shared" si="33"/>
        <v>2736.14</v>
      </c>
      <c r="L310" s="25">
        <f t="shared" si="34"/>
        <v>2800</v>
      </c>
      <c r="M310" s="14">
        <f t="shared" si="35"/>
        <v>2800</v>
      </c>
    </row>
    <row r="311" spans="1:13" ht="15" hidden="1" customHeight="1" x14ac:dyDescent="0.35">
      <c r="A311" s="21" t="s">
        <v>1441</v>
      </c>
      <c r="B311" s="21" t="s">
        <v>1373</v>
      </c>
      <c r="C311" s="21" t="s">
        <v>1553</v>
      </c>
      <c r="D311" s="34" t="s">
        <v>1554</v>
      </c>
      <c r="E311" s="22" t="s">
        <v>1555</v>
      </c>
      <c r="F311" s="23">
        <v>0.18</v>
      </c>
      <c r="G311" s="26">
        <v>1</v>
      </c>
      <c r="H311" s="25">
        <v>420</v>
      </c>
      <c r="I311" s="25">
        <v>440</v>
      </c>
      <c r="J311" s="25">
        <v>450</v>
      </c>
      <c r="K311" s="25">
        <f t="shared" si="33"/>
        <v>420</v>
      </c>
      <c r="L311" s="25">
        <f t="shared" si="34"/>
        <v>440</v>
      </c>
      <c r="M311" s="14">
        <f t="shared" si="35"/>
        <v>450</v>
      </c>
    </row>
    <row r="312" spans="1:13" hidden="1" x14ac:dyDescent="0.35">
      <c r="A312" s="21" t="s">
        <v>1441</v>
      </c>
      <c r="B312" s="21" t="s">
        <v>1373</v>
      </c>
      <c r="C312" s="21" t="s">
        <v>1553</v>
      </c>
      <c r="D312" s="34" t="s">
        <v>1556</v>
      </c>
      <c r="E312" s="22" t="s">
        <v>1557</v>
      </c>
      <c r="F312" s="23">
        <v>0.36</v>
      </c>
      <c r="G312" s="26">
        <v>1</v>
      </c>
      <c r="H312" s="25">
        <v>662.38</v>
      </c>
      <c r="I312" s="25">
        <v>730</v>
      </c>
      <c r="J312" s="25">
        <v>730</v>
      </c>
      <c r="K312" s="25">
        <f t="shared" si="33"/>
        <v>662.38</v>
      </c>
      <c r="L312" s="25">
        <f t="shared" si="34"/>
        <v>730</v>
      </c>
      <c r="M312" s="14">
        <f t="shared" si="35"/>
        <v>730</v>
      </c>
    </row>
    <row r="313" spans="1:13" hidden="1" x14ac:dyDescent="0.35">
      <c r="A313" s="21" t="s">
        <v>1372</v>
      </c>
      <c r="B313" s="21" t="s">
        <v>1863</v>
      </c>
      <c r="C313" s="21" t="s">
        <v>1390</v>
      </c>
      <c r="D313" s="34" t="s">
        <v>1395</v>
      </c>
      <c r="E313" s="22" t="s">
        <v>1396</v>
      </c>
      <c r="F313" s="23">
        <v>0</v>
      </c>
      <c r="G313" s="26">
        <v>1</v>
      </c>
      <c r="H313" s="25">
        <v>184.57</v>
      </c>
      <c r="I313" s="25">
        <v>220</v>
      </c>
      <c r="J313" s="25">
        <v>220</v>
      </c>
      <c r="K313" s="25">
        <f t="shared" si="33"/>
        <v>184.57</v>
      </c>
      <c r="L313" s="25">
        <f t="shared" si="34"/>
        <v>220</v>
      </c>
      <c r="M313" s="14">
        <f t="shared" si="35"/>
        <v>220</v>
      </c>
    </row>
    <row r="314" spans="1:13" hidden="1" x14ac:dyDescent="0.35">
      <c r="A314" s="21" t="s">
        <v>529</v>
      </c>
      <c r="B314" s="31" t="s">
        <v>1373</v>
      </c>
      <c r="C314" s="21" t="s">
        <v>566</v>
      </c>
      <c r="D314" s="34" t="s">
        <v>567</v>
      </c>
      <c r="E314" s="22" t="s">
        <v>568</v>
      </c>
      <c r="F314" s="23">
        <v>0.125</v>
      </c>
      <c r="G314" s="24">
        <v>4</v>
      </c>
      <c r="H314" s="25">
        <v>162.5</v>
      </c>
      <c r="I314" s="25">
        <v>170</v>
      </c>
      <c r="J314" s="25">
        <v>175</v>
      </c>
      <c r="K314" s="25">
        <f t="shared" si="33"/>
        <v>650</v>
      </c>
      <c r="L314" s="25">
        <f t="shared" si="34"/>
        <v>680</v>
      </c>
      <c r="M314" s="14">
        <f t="shared" si="35"/>
        <v>700</v>
      </c>
    </row>
    <row r="315" spans="1:13" hidden="1" x14ac:dyDescent="0.35">
      <c r="A315" s="21" t="s">
        <v>1411</v>
      </c>
      <c r="B315" s="21" t="s">
        <v>1373</v>
      </c>
      <c r="C315" s="21" t="s">
        <v>1412</v>
      </c>
      <c r="D315" s="34" t="s">
        <v>1429</v>
      </c>
      <c r="E315" s="22" t="s">
        <v>1430</v>
      </c>
      <c r="F315" s="23">
        <v>0</v>
      </c>
      <c r="G315" s="26">
        <v>5</v>
      </c>
      <c r="H315" s="25">
        <v>165</v>
      </c>
      <c r="I315" s="25">
        <v>190</v>
      </c>
      <c r="J315" s="25">
        <v>190</v>
      </c>
      <c r="K315" s="25">
        <f t="shared" si="33"/>
        <v>825</v>
      </c>
      <c r="L315" s="25">
        <f t="shared" si="34"/>
        <v>950</v>
      </c>
      <c r="M315" s="14">
        <f t="shared" si="35"/>
        <v>950</v>
      </c>
    </row>
    <row r="316" spans="1:13" hidden="1" x14ac:dyDescent="0.35">
      <c r="A316" s="21" t="s">
        <v>705</v>
      </c>
      <c r="B316" s="31" t="s">
        <v>1826</v>
      </c>
      <c r="C316" s="21" t="s">
        <v>793</v>
      </c>
      <c r="D316" s="34" t="s">
        <v>796</v>
      </c>
      <c r="E316" s="22" t="s">
        <v>797</v>
      </c>
      <c r="F316" s="23">
        <v>4.4999999999999998E-2</v>
      </c>
      <c r="G316" s="24">
        <v>3</v>
      </c>
      <c r="H316" s="25">
        <v>46</v>
      </c>
      <c r="I316" s="25">
        <v>50</v>
      </c>
      <c r="J316" s="25">
        <v>50</v>
      </c>
      <c r="K316" s="25">
        <f t="shared" si="33"/>
        <v>138</v>
      </c>
      <c r="L316" s="25">
        <f t="shared" si="34"/>
        <v>150</v>
      </c>
      <c r="M316" s="14">
        <f t="shared" si="35"/>
        <v>150</v>
      </c>
    </row>
    <row r="317" spans="1:13" hidden="1" x14ac:dyDescent="0.35">
      <c r="A317" s="21" t="s">
        <v>705</v>
      </c>
      <c r="B317" s="31" t="s">
        <v>1826</v>
      </c>
      <c r="C317" s="21" t="s">
        <v>793</v>
      </c>
      <c r="D317" s="34" t="s">
        <v>798</v>
      </c>
      <c r="E317" s="22" t="s">
        <v>799</v>
      </c>
      <c r="F317" s="23">
        <v>4.4999999999999998E-2</v>
      </c>
      <c r="G317" s="24">
        <v>2</v>
      </c>
      <c r="H317" s="25">
        <v>46</v>
      </c>
      <c r="I317" s="25">
        <v>50</v>
      </c>
      <c r="J317" s="25">
        <v>50</v>
      </c>
      <c r="K317" s="25">
        <f t="shared" si="33"/>
        <v>92</v>
      </c>
      <c r="L317" s="25">
        <f t="shared" si="34"/>
        <v>100</v>
      </c>
      <c r="M317" s="14">
        <f t="shared" si="35"/>
        <v>100</v>
      </c>
    </row>
    <row r="318" spans="1:13" hidden="1" x14ac:dyDescent="0.35">
      <c r="A318" s="21" t="s">
        <v>1441</v>
      </c>
      <c r="B318" s="21" t="s">
        <v>1826</v>
      </c>
      <c r="C318" s="21" t="s">
        <v>1490</v>
      </c>
      <c r="D318" s="34" t="s">
        <v>1493</v>
      </c>
      <c r="E318" s="22" t="s">
        <v>1494</v>
      </c>
      <c r="F318" s="23">
        <v>0.17499999999999999</v>
      </c>
      <c r="G318" s="26">
        <v>1</v>
      </c>
      <c r="H318" s="25">
        <v>401</v>
      </c>
      <c r="I318" s="25">
        <v>500</v>
      </c>
      <c r="J318" s="25">
        <v>520</v>
      </c>
      <c r="K318" s="25">
        <f t="shared" si="33"/>
        <v>401</v>
      </c>
      <c r="L318" s="25">
        <f t="shared" si="34"/>
        <v>500</v>
      </c>
      <c r="M318" s="14">
        <f t="shared" si="35"/>
        <v>520</v>
      </c>
    </row>
    <row r="319" spans="1:13" hidden="1" x14ac:dyDescent="0.35">
      <c r="A319" s="21" t="s">
        <v>1441</v>
      </c>
      <c r="B319" s="21" t="s">
        <v>1826</v>
      </c>
      <c r="C319" s="21" t="s">
        <v>1490</v>
      </c>
      <c r="D319" s="34" t="s">
        <v>1499</v>
      </c>
      <c r="E319" s="22" t="s">
        <v>1500</v>
      </c>
      <c r="F319" s="23">
        <v>0.36</v>
      </c>
      <c r="G319" s="26">
        <v>1</v>
      </c>
      <c r="H319" s="25">
        <v>782</v>
      </c>
      <c r="I319" s="25">
        <v>850</v>
      </c>
      <c r="J319" s="25">
        <v>870</v>
      </c>
      <c r="K319" s="25">
        <f t="shared" si="33"/>
        <v>782</v>
      </c>
      <c r="L319" s="25">
        <f t="shared" si="34"/>
        <v>850</v>
      </c>
      <c r="M319" s="14">
        <f t="shared" si="35"/>
        <v>870</v>
      </c>
    </row>
    <row r="320" spans="1:13" hidden="1" x14ac:dyDescent="0.35">
      <c r="A320" s="21" t="s">
        <v>1441</v>
      </c>
      <c r="B320" s="21" t="s">
        <v>1826</v>
      </c>
      <c r="C320" s="21" t="s">
        <v>1490</v>
      </c>
      <c r="D320" s="34" t="s">
        <v>1501</v>
      </c>
      <c r="E320" s="22" t="s">
        <v>1502</v>
      </c>
      <c r="F320" s="23">
        <v>0.18</v>
      </c>
      <c r="G320" s="26">
        <v>1</v>
      </c>
      <c r="H320" s="25">
        <v>483</v>
      </c>
      <c r="I320" s="25">
        <v>520</v>
      </c>
      <c r="J320" s="25">
        <v>540</v>
      </c>
      <c r="K320" s="25">
        <f t="shared" si="33"/>
        <v>483</v>
      </c>
      <c r="L320" s="25">
        <f t="shared" si="34"/>
        <v>520</v>
      </c>
      <c r="M320" s="14">
        <f t="shared" si="35"/>
        <v>540</v>
      </c>
    </row>
    <row r="321" spans="1:13" hidden="1" x14ac:dyDescent="0.35">
      <c r="A321" s="21" t="s">
        <v>705</v>
      </c>
      <c r="B321" s="31" t="s">
        <v>1826</v>
      </c>
      <c r="C321" s="21" t="s">
        <v>777</v>
      </c>
      <c r="D321" s="34" t="s">
        <v>778</v>
      </c>
      <c r="E321" s="22" t="s">
        <v>779</v>
      </c>
      <c r="F321" s="23">
        <v>0.4</v>
      </c>
      <c r="G321" s="24">
        <v>1</v>
      </c>
      <c r="H321" s="25">
        <v>222</v>
      </c>
      <c r="I321" s="25">
        <v>250</v>
      </c>
      <c r="J321" s="25">
        <v>250</v>
      </c>
      <c r="K321" s="25">
        <f t="shared" si="33"/>
        <v>222</v>
      </c>
      <c r="L321" s="25">
        <f t="shared" si="34"/>
        <v>250</v>
      </c>
      <c r="M321" s="14">
        <f t="shared" si="35"/>
        <v>250</v>
      </c>
    </row>
    <row r="322" spans="1:13" hidden="1" x14ac:dyDescent="0.35">
      <c r="A322" s="21" t="s">
        <v>705</v>
      </c>
      <c r="B322" s="31" t="s">
        <v>1826</v>
      </c>
      <c r="C322" s="21" t="s">
        <v>777</v>
      </c>
      <c r="D322" s="34">
        <v>8961014034806</v>
      </c>
      <c r="E322" s="22" t="s">
        <v>1882</v>
      </c>
      <c r="F322" s="23">
        <v>0.19</v>
      </c>
      <c r="G322" s="24">
        <v>1</v>
      </c>
      <c r="H322" s="25">
        <v>109</v>
      </c>
      <c r="I322" s="25">
        <v>125</v>
      </c>
      <c r="J322" s="25">
        <v>125</v>
      </c>
      <c r="K322" s="25">
        <f t="shared" si="33"/>
        <v>109</v>
      </c>
      <c r="L322" s="25">
        <f t="shared" si="34"/>
        <v>125</v>
      </c>
      <c r="M322" s="14">
        <f t="shared" si="35"/>
        <v>125</v>
      </c>
    </row>
    <row r="323" spans="1:13" hidden="1" x14ac:dyDescent="0.35">
      <c r="A323" s="21" t="s">
        <v>705</v>
      </c>
      <c r="B323" s="31" t="s">
        <v>1826</v>
      </c>
      <c r="C323" s="21" t="s">
        <v>918</v>
      </c>
      <c r="D323" s="34" t="s">
        <v>923</v>
      </c>
      <c r="E323" s="22" t="s">
        <v>924</v>
      </c>
      <c r="F323" s="23">
        <v>1.7999999999999999E-2</v>
      </c>
      <c r="G323" s="26">
        <v>5</v>
      </c>
      <c r="H323" s="25">
        <v>26.75</v>
      </c>
      <c r="I323" s="25">
        <v>30</v>
      </c>
      <c r="J323" s="25">
        <v>30</v>
      </c>
      <c r="K323" s="25">
        <f t="shared" si="33"/>
        <v>133.75</v>
      </c>
      <c r="L323" s="25">
        <f t="shared" si="34"/>
        <v>150</v>
      </c>
      <c r="M323" s="14">
        <f t="shared" si="35"/>
        <v>150</v>
      </c>
    </row>
    <row r="324" spans="1:13" hidden="1" x14ac:dyDescent="0.35">
      <c r="A324" s="21" t="s">
        <v>1441</v>
      </c>
      <c r="B324" s="21" t="s">
        <v>12</v>
      </c>
      <c r="C324" s="21" t="s">
        <v>14</v>
      </c>
      <c r="D324" s="34" t="s">
        <v>379</v>
      </c>
      <c r="E324" s="22" t="s">
        <v>1482</v>
      </c>
      <c r="F324" s="23">
        <v>0.5</v>
      </c>
      <c r="G324" s="26">
        <v>4</v>
      </c>
      <c r="H324" s="25">
        <v>123</v>
      </c>
      <c r="I324" s="25">
        <v>120</v>
      </c>
      <c r="J324" s="25">
        <v>160</v>
      </c>
      <c r="K324" s="25">
        <f t="shared" si="33"/>
        <v>492</v>
      </c>
      <c r="L324" s="25">
        <f t="shared" si="34"/>
        <v>480</v>
      </c>
      <c r="M324" s="14">
        <f t="shared" si="35"/>
        <v>640</v>
      </c>
    </row>
    <row r="325" spans="1:13" hidden="1" x14ac:dyDescent="0.35">
      <c r="A325" s="21" t="s">
        <v>1441</v>
      </c>
      <c r="B325" s="21" t="s">
        <v>12</v>
      </c>
      <c r="C325" s="21" t="s">
        <v>14</v>
      </c>
      <c r="D325" s="34" t="s">
        <v>383</v>
      </c>
      <c r="E325" s="22" t="s">
        <v>91</v>
      </c>
      <c r="F325" s="23">
        <v>0.5</v>
      </c>
      <c r="G325" s="26">
        <v>2</v>
      </c>
      <c r="H325" s="25">
        <v>362.5</v>
      </c>
      <c r="I325" s="25">
        <v>400</v>
      </c>
      <c r="J325" s="25">
        <v>400</v>
      </c>
      <c r="K325" s="25">
        <f t="shared" si="33"/>
        <v>725</v>
      </c>
      <c r="L325" s="25">
        <f t="shared" si="34"/>
        <v>800</v>
      </c>
      <c r="M325" s="14">
        <f t="shared" si="35"/>
        <v>800</v>
      </c>
    </row>
    <row r="326" spans="1:13" hidden="1" x14ac:dyDescent="0.35">
      <c r="A326" s="21" t="s">
        <v>1441</v>
      </c>
      <c r="B326" s="21" t="s">
        <v>1848</v>
      </c>
      <c r="C326" s="21" t="s">
        <v>1848</v>
      </c>
      <c r="D326" s="34" t="s">
        <v>1483</v>
      </c>
      <c r="E326" s="22" t="s">
        <v>1484</v>
      </c>
      <c r="F326" s="23">
        <v>0</v>
      </c>
      <c r="G326" s="26">
        <v>20</v>
      </c>
      <c r="H326" s="25">
        <v>61</v>
      </c>
      <c r="I326" s="25">
        <v>80</v>
      </c>
      <c r="J326" s="25">
        <v>80</v>
      </c>
      <c r="K326" s="25">
        <f t="shared" ref="K326:K361" si="36">H326*G326</f>
        <v>1220</v>
      </c>
      <c r="L326" s="25">
        <f t="shared" ref="L326:L361" si="37">I326*G326</f>
        <v>1600</v>
      </c>
      <c r="M326" s="14">
        <f t="shared" ref="M326:M361" si="38">J326*G326</f>
        <v>1600</v>
      </c>
    </row>
    <row r="327" spans="1:13" hidden="1" x14ac:dyDescent="0.35">
      <c r="A327" s="21" t="s">
        <v>1611</v>
      </c>
      <c r="B327" s="31" t="s">
        <v>1826</v>
      </c>
      <c r="C327" s="21" t="s">
        <v>1634</v>
      </c>
      <c r="D327" s="34" t="s">
        <v>1628</v>
      </c>
      <c r="E327" s="22" t="s">
        <v>1629</v>
      </c>
      <c r="F327" s="23">
        <v>0.46</v>
      </c>
      <c r="G327" s="26">
        <v>1</v>
      </c>
      <c r="H327" s="25">
        <v>139.19</v>
      </c>
      <c r="I327" s="25">
        <v>150</v>
      </c>
      <c r="J327" s="25">
        <v>150</v>
      </c>
      <c r="K327" s="25">
        <f t="shared" si="36"/>
        <v>139.19</v>
      </c>
      <c r="L327" s="25">
        <f t="shared" si="37"/>
        <v>150</v>
      </c>
      <c r="M327" s="14">
        <f t="shared" si="38"/>
        <v>150</v>
      </c>
    </row>
    <row r="328" spans="1:13" hidden="1" x14ac:dyDescent="0.35">
      <c r="A328" s="21" t="s">
        <v>1611</v>
      </c>
      <c r="B328" s="31" t="s">
        <v>1826</v>
      </c>
      <c r="C328" s="21" t="s">
        <v>1634</v>
      </c>
      <c r="D328" s="34" t="s">
        <v>1626</v>
      </c>
      <c r="E328" s="22" t="s">
        <v>1627</v>
      </c>
      <c r="F328" s="23">
        <v>0.23</v>
      </c>
      <c r="G328" s="26">
        <v>2</v>
      </c>
      <c r="H328" s="25">
        <v>69.599999999999994</v>
      </c>
      <c r="I328" s="25">
        <v>75</v>
      </c>
      <c r="J328" s="25">
        <v>75</v>
      </c>
      <c r="K328" s="25">
        <f t="shared" si="36"/>
        <v>139.19999999999999</v>
      </c>
      <c r="L328" s="25">
        <f t="shared" si="37"/>
        <v>150</v>
      </c>
      <c r="M328" s="14">
        <f t="shared" si="38"/>
        <v>150</v>
      </c>
    </row>
    <row r="329" spans="1:13" hidden="1" x14ac:dyDescent="0.35">
      <c r="A329" s="21" t="s">
        <v>1441</v>
      </c>
      <c r="B329" s="21" t="s">
        <v>1826</v>
      </c>
      <c r="C329" s="21" t="s">
        <v>1443</v>
      </c>
      <c r="D329" s="34" t="s">
        <v>1452</v>
      </c>
      <c r="E329" s="22" t="s">
        <v>1453</v>
      </c>
      <c r="F329" s="23">
        <v>0.37</v>
      </c>
      <c r="G329" s="26">
        <v>1</v>
      </c>
      <c r="H329" s="25">
        <v>550</v>
      </c>
      <c r="I329" s="25">
        <v>650</v>
      </c>
      <c r="J329" s="25">
        <v>670</v>
      </c>
      <c r="K329" s="25">
        <f t="shared" si="36"/>
        <v>550</v>
      </c>
      <c r="L329" s="25">
        <f t="shared" si="37"/>
        <v>650</v>
      </c>
      <c r="M329" s="14">
        <f t="shared" si="38"/>
        <v>670</v>
      </c>
    </row>
    <row r="330" spans="1:13" hidden="1" x14ac:dyDescent="0.35">
      <c r="A330" s="21" t="s">
        <v>1441</v>
      </c>
      <c r="B330" s="21" t="s">
        <v>1826</v>
      </c>
      <c r="C330" s="21" t="s">
        <v>1443</v>
      </c>
      <c r="D330" s="34">
        <v>8961014266153</v>
      </c>
      <c r="E330" s="22" t="s">
        <v>1880</v>
      </c>
      <c r="F330" s="23">
        <v>0.65</v>
      </c>
      <c r="G330" s="26">
        <v>1</v>
      </c>
      <c r="H330" s="25">
        <v>1029</v>
      </c>
      <c r="I330" s="25">
        <v>1120</v>
      </c>
      <c r="J330" s="25">
        <v>1150</v>
      </c>
      <c r="K330" s="25">
        <f t="shared" si="36"/>
        <v>1029</v>
      </c>
      <c r="L330" s="25">
        <f t="shared" si="37"/>
        <v>1120</v>
      </c>
      <c r="M330" s="14">
        <f t="shared" si="38"/>
        <v>1150</v>
      </c>
    </row>
    <row r="331" spans="1:13" hidden="1" x14ac:dyDescent="0.35">
      <c r="A331" s="21" t="s">
        <v>1441</v>
      </c>
      <c r="B331" s="21" t="s">
        <v>1826</v>
      </c>
      <c r="C331" s="21" t="s">
        <v>1443</v>
      </c>
      <c r="D331" s="34">
        <v>8961014266931</v>
      </c>
      <c r="E331" s="22" t="s">
        <v>1881</v>
      </c>
      <c r="F331" s="23">
        <v>0.17499999999999999</v>
      </c>
      <c r="G331" s="26">
        <v>1</v>
      </c>
      <c r="H331" s="25">
        <v>315.81</v>
      </c>
      <c r="I331" s="25">
        <v>360</v>
      </c>
      <c r="J331" s="25">
        <v>370</v>
      </c>
      <c r="K331" s="25">
        <f t="shared" si="36"/>
        <v>315.81</v>
      </c>
      <c r="L331" s="25">
        <f t="shared" si="37"/>
        <v>360</v>
      </c>
      <c r="M331" s="14">
        <f t="shared" si="38"/>
        <v>370</v>
      </c>
    </row>
    <row r="332" spans="1:13" hidden="1" x14ac:dyDescent="0.35">
      <c r="A332" s="21" t="s">
        <v>1441</v>
      </c>
      <c r="B332" s="21" t="s">
        <v>1826</v>
      </c>
      <c r="C332" s="21" t="s">
        <v>1443</v>
      </c>
      <c r="D332" s="34" t="s">
        <v>1450</v>
      </c>
      <c r="E332" s="22" t="s">
        <v>1451</v>
      </c>
      <c r="F332" s="23">
        <v>0.17499999999999999</v>
      </c>
      <c r="G332" s="26">
        <v>3</v>
      </c>
      <c r="H332" s="25">
        <v>301.5</v>
      </c>
      <c r="I332" s="25">
        <v>340</v>
      </c>
      <c r="J332" s="25">
        <v>370</v>
      </c>
      <c r="K332" s="25">
        <f t="shared" si="36"/>
        <v>904.5</v>
      </c>
      <c r="L332" s="25">
        <f t="shared" si="37"/>
        <v>1020</v>
      </c>
      <c r="M332" s="14">
        <f t="shared" si="38"/>
        <v>1110</v>
      </c>
    </row>
    <row r="333" spans="1:13" hidden="1" x14ac:dyDescent="0.35">
      <c r="A333" s="21" t="s">
        <v>1441</v>
      </c>
      <c r="B333" s="21" t="s">
        <v>1826</v>
      </c>
      <c r="C333" s="21" t="s">
        <v>1443</v>
      </c>
      <c r="D333" s="34" t="s">
        <v>1447</v>
      </c>
      <c r="E333" s="22" t="s">
        <v>1448</v>
      </c>
      <c r="F333" s="23">
        <v>8.9999999999999993E-3</v>
      </c>
      <c r="G333" s="26">
        <v>11</v>
      </c>
      <c r="H333" s="25">
        <v>9.14</v>
      </c>
      <c r="I333" s="25">
        <v>10</v>
      </c>
      <c r="J333" s="25">
        <v>10</v>
      </c>
      <c r="K333" s="25">
        <f t="shared" si="36"/>
        <v>100.54</v>
      </c>
      <c r="L333" s="25">
        <f t="shared" si="37"/>
        <v>110</v>
      </c>
      <c r="M333" s="14">
        <f t="shared" si="38"/>
        <v>110</v>
      </c>
    </row>
    <row r="334" spans="1:13" hidden="1" x14ac:dyDescent="0.35">
      <c r="A334" s="21" t="s">
        <v>1441</v>
      </c>
      <c r="B334" s="21" t="s">
        <v>1826</v>
      </c>
      <c r="C334" s="21" t="s">
        <v>1443</v>
      </c>
      <c r="D334" s="34" t="s">
        <v>1445</v>
      </c>
      <c r="E334" s="22" t="s">
        <v>1446</v>
      </c>
      <c r="F334" s="23">
        <v>8.9999999999999993E-3</v>
      </c>
      <c r="G334" s="26">
        <v>15</v>
      </c>
      <c r="H334" s="25">
        <v>9.1399000000000008</v>
      </c>
      <c r="I334" s="25">
        <v>10</v>
      </c>
      <c r="J334" s="25">
        <v>10</v>
      </c>
      <c r="K334" s="25">
        <f t="shared" si="36"/>
        <v>137.0985</v>
      </c>
      <c r="L334" s="25">
        <f t="shared" si="37"/>
        <v>150</v>
      </c>
      <c r="M334" s="14">
        <f t="shared" si="38"/>
        <v>150</v>
      </c>
    </row>
    <row r="335" spans="1:13" hidden="1" x14ac:dyDescent="0.35">
      <c r="A335" s="21" t="s">
        <v>529</v>
      </c>
      <c r="B335" s="21" t="s">
        <v>1826</v>
      </c>
      <c r="C335" s="21" t="s">
        <v>530</v>
      </c>
      <c r="D335" s="34" t="s">
        <v>531</v>
      </c>
      <c r="E335" s="22" t="s">
        <v>532</v>
      </c>
      <c r="F335" s="23">
        <v>0.2</v>
      </c>
      <c r="G335" s="24">
        <v>2</v>
      </c>
      <c r="H335" s="25">
        <v>255</v>
      </c>
      <c r="I335" s="25">
        <v>280</v>
      </c>
      <c r="J335" s="25">
        <v>280</v>
      </c>
      <c r="K335" s="25">
        <f t="shared" si="36"/>
        <v>510</v>
      </c>
      <c r="L335" s="25">
        <f t="shared" si="37"/>
        <v>560</v>
      </c>
      <c r="M335" s="14">
        <f t="shared" si="38"/>
        <v>560</v>
      </c>
    </row>
    <row r="336" spans="1:13" hidden="1" x14ac:dyDescent="0.35">
      <c r="A336" s="21" t="s">
        <v>529</v>
      </c>
      <c r="B336" s="21" t="s">
        <v>1826</v>
      </c>
      <c r="C336" s="21" t="s">
        <v>530</v>
      </c>
      <c r="D336" s="34" t="s">
        <v>533</v>
      </c>
      <c r="E336" s="22" t="s">
        <v>534</v>
      </c>
      <c r="F336" s="23">
        <v>0.13</v>
      </c>
      <c r="G336" s="24">
        <v>1</v>
      </c>
      <c r="H336" s="25">
        <v>115.72</v>
      </c>
      <c r="I336" s="25">
        <v>125</v>
      </c>
      <c r="J336" s="25">
        <v>125</v>
      </c>
      <c r="K336" s="25">
        <f t="shared" si="36"/>
        <v>115.72</v>
      </c>
      <c r="L336" s="25">
        <f t="shared" si="37"/>
        <v>125</v>
      </c>
      <c r="M336" s="14">
        <f t="shared" si="38"/>
        <v>125</v>
      </c>
    </row>
    <row r="337" spans="1:13" hidden="1" x14ac:dyDescent="0.35">
      <c r="A337" s="21" t="s">
        <v>529</v>
      </c>
      <c r="B337" s="21" t="s">
        <v>1826</v>
      </c>
      <c r="C337" s="21" t="s">
        <v>530</v>
      </c>
      <c r="D337" s="34">
        <v>8961014263732</v>
      </c>
      <c r="E337" s="22" t="s">
        <v>1886</v>
      </c>
      <c r="F337" s="23">
        <v>7.0000000000000007E-2</v>
      </c>
      <c r="G337" s="24">
        <v>3</v>
      </c>
      <c r="H337" s="25">
        <v>62</v>
      </c>
      <c r="I337" s="25">
        <v>70</v>
      </c>
      <c r="J337" s="25">
        <v>70</v>
      </c>
      <c r="K337" s="25">
        <f t="shared" si="36"/>
        <v>186</v>
      </c>
      <c r="L337" s="25">
        <f t="shared" si="37"/>
        <v>210</v>
      </c>
      <c r="M337" s="14">
        <f t="shared" si="38"/>
        <v>210</v>
      </c>
    </row>
    <row r="338" spans="1:13" hidden="1" x14ac:dyDescent="0.35">
      <c r="A338" s="21" t="s">
        <v>529</v>
      </c>
      <c r="B338" s="31" t="s">
        <v>1826</v>
      </c>
      <c r="C338" s="21" t="s">
        <v>569</v>
      </c>
      <c r="D338" s="34">
        <v>8961014255126</v>
      </c>
      <c r="E338" s="22" t="s">
        <v>1887</v>
      </c>
      <c r="F338" s="23">
        <v>0.12</v>
      </c>
      <c r="G338" s="24">
        <v>1</v>
      </c>
      <c r="H338" s="25">
        <v>116.17</v>
      </c>
      <c r="I338" s="25">
        <v>125</v>
      </c>
      <c r="J338" s="25">
        <v>130</v>
      </c>
      <c r="K338" s="25">
        <f t="shared" si="36"/>
        <v>116.17</v>
      </c>
      <c r="L338" s="25">
        <f t="shared" si="37"/>
        <v>125</v>
      </c>
      <c r="M338" s="14">
        <f t="shared" si="38"/>
        <v>130</v>
      </c>
    </row>
    <row r="339" spans="1:13" hidden="1" x14ac:dyDescent="0.35">
      <c r="A339" s="21" t="s">
        <v>529</v>
      </c>
      <c r="B339" s="31" t="s">
        <v>1826</v>
      </c>
      <c r="C339" s="21" t="s">
        <v>569</v>
      </c>
      <c r="D339" s="34" t="s">
        <v>587</v>
      </c>
      <c r="E339" s="22" t="s">
        <v>580</v>
      </c>
      <c r="F339" s="23">
        <v>0.17</v>
      </c>
      <c r="G339" s="24">
        <v>1</v>
      </c>
      <c r="H339" s="25">
        <v>163.75</v>
      </c>
      <c r="I339" s="25">
        <v>175</v>
      </c>
      <c r="J339" s="25">
        <v>180</v>
      </c>
      <c r="K339" s="25">
        <f t="shared" si="36"/>
        <v>163.75</v>
      </c>
      <c r="L339" s="25">
        <f t="shared" si="37"/>
        <v>175</v>
      </c>
      <c r="M339" s="14">
        <f t="shared" si="38"/>
        <v>180</v>
      </c>
    </row>
    <row r="340" spans="1:13" hidden="1" x14ac:dyDescent="0.35">
      <c r="A340" s="21" t="s">
        <v>529</v>
      </c>
      <c r="B340" s="31" t="s">
        <v>1826</v>
      </c>
      <c r="C340" s="21" t="s">
        <v>569</v>
      </c>
      <c r="D340" s="34" t="s">
        <v>572</v>
      </c>
      <c r="E340" s="22" t="s">
        <v>573</v>
      </c>
      <c r="F340" s="23">
        <v>0.05</v>
      </c>
      <c r="G340" s="24">
        <v>2</v>
      </c>
      <c r="H340" s="25">
        <v>66</v>
      </c>
      <c r="I340" s="25">
        <v>70</v>
      </c>
      <c r="J340" s="25">
        <v>70</v>
      </c>
      <c r="K340" s="25">
        <f t="shared" si="36"/>
        <v>132</v>
      </c>
      <c r="L340" s="25">
        <f t="shared" si="37"/>
        <v>140</v>
      </c>
      <c r="M340" s="14">
        <f t="shared" si="38"/>
        <v>140</v>
      </c>
    </row>
    <row r="341" spans="1:13" hidden="1" x14ac:dyDescent="0.35">
      <c r="A341" s="21" t="s">
        <v>1441</v>
      </c>
      <c r="B341" s="21" t="s">
        <v>1442</v>
      </c>
      <c r="C341" s="21" t="s">
        <v>1442</v>
      </c>
      <c r="D341" s="34" t="s">
        <v>1508</v>
      </c>
      <c r="E341" s="22" t="s">
        <v>1509</v>
      </c>
      <c r="F341" s="23">
        <v>0</v>
      </c>
      <c r="G341" s="26">
        <v>4</v>
      </c>
      <c r="H341" s="25">
        <v>124</v>
      </c>
      <c r="I341" s="25">
        <v>140</v>
      </c>
      <c r="J341" s="25">
        <v>150</v>
      </c>
      <c r="K341" s="25">
        <f t="shared" si="36"/>
        <v>496</v>
      </c>
      <c r="L341" s="25">
        <f t="shared" si="37"/>
        <v>560</v>
      </c>
      <c r="M341" s="14">
        <f t="shared" si="38"/>
        <v>600</v>
      </c>
    </row>
    <row r="342" spans="1:13" hidden="1" x14ac:dyDescent="0.35">
      <c r="A342" s="21" t="s">
        <v>1441</v>
      </c>
      <c r="B342" s="21" t="s">
        <v>1442</v>
      </c>
      <c r="C342" s="21" t="s">
        <v>1442</v>
      </c>
      <c r="D342" s="34" t="s">
        <v>1510</v>
      </c>
      <c r="E342" s="22" t="s">
        <v>1511</v>
      </c>
      <c r="F342" s="23">
        <v>0</v>
      </c>
      <c r="G342" s="26">
        <v>5</v>
      </c>
      <c r="H342" s="25">
        <v>115</v>
      </c>
      <c r="I342" s="25">
        <v>140</v>
      </c>
      <c r="J342" s="25">
        <v>150</v>
      </c>
      <c r="K342" s="25">
        <f t="shared" si="36"/>
        <v>575</v>
      </c>
      <c r="L342" s="25">
        <f t="shared" si="37"/>
        <v>700</v>
      </c>
      <c r="M342" s="14">
        <f t="shared" si="38"/>
        <v>750</v>
      </c>
    </row>
    <row r="343" spans="1:13" hidden="1" x14ac:dyDescent="0.35">
      <c r="A343" s="21" t="s">
        <v>1441</v>
      </c>
      <c r="B343" s="21" t="s">
        <v>1442</v>
      </c>
      <c r="C343" s="21" t="s">
        <v>1442</v>
      </c>
      <c r="D343" s="34" t="s">
        <v>1514</v>
      </c>
      <c r="E343" s="22" t="s">
        <v>1515</v>
      </c>
      <c r="F343" s="23">
        <v>0</v>
      </c>
      <c r="G343" s="26">
        <v>3</v>
      </c>
      <c r="H343" s="25">
        <v>72</v>
      </c>
      <c r="I343" s="25">
        <v>90</v>
      </c>
      <c r="J343" s="25">
        <v>90</v>
      </c>
      <c r="K343" s="25">
        <f t="shared" si="36"/>
        <v>216</v>
      </c>
      <c r="L343" s="25">
        <f t="shared" si="37"/>
        <v>270</v>
      </c>
      <c r="M343" s="14">
        <f t="shared" si="38"/>
        <v>270</v>
      </c>
    </row>
    <row r="344" spans="1:13" ht="15" hidden="1" customHeight="1" x14ac:dyDescent="0.35">
      <c r="A344" s="21" t="s">
        <v>1441</v>
      </c>
      <c r="B344" s="21" t="s">
        <v>1849</v>
      </c>
      <c r="C344" s="21" t="s">
        <v>1516</v>
      </c>
      <c r="D344" s="34" t="s">
        <v>1517</v>
      </c>
      <c r="E344" s="22" t="s">
        <v>1518</v>
      </c>
      <c r="F344" s="23">
        <v>0.36</v>
      </c>
      <c r="G344" s="26">
        <v>1</v>
      </c>
      <c r="H344" s="25">
        <v>782.2</v>
      </c>
      <c r="I344" s="25">
        <v>860</v>
      </c>
      <c r="J344" s="25">
        <v>910</v>
      </c>
      <c r="K344" s="25">
        <f t="shared" si="36"/>
        <v>782.2</v>
      </c>
      <c r="L344" s="25">
        <f t="shared" si="37"/>
        <v>860</v>
      </c>
      <c r="M344" s="14">
        <f t="shared" si="38"/>
        <v>910</v>
      </c>
    </row>
    <row r="345" spans="1:13" hidden="1" x14ac:dyDescent="0.35">
      <c r="A345" s="21" t="s">
        <v>1441</v>
      </c>
      <c r="B345" s="21" t="s">
        <v>1849</v>
      </c>
      <c r="C345" s="21" t="s">
        <v>1516</v>
      </c>
      <c r="D345" s="34" t="s">
        <v>1523</v>
      </c>
      <c r="E345" s="22" t="s">
        <v>1524</v>
      </c>
      <c r="F345" s="23">
        <v>0.36</v>
      </c>
      <c r="G345" s="26">
        <v>1</v>
      </c>
      <c r="H345" s="25">
        <v>782.2</v>
      </c>
      <c r="I345" s="25">
        <v>860</v>
      </c>
      <c r="J345" s="25">
        <v>910</v>
      </c>
      <c r="K345" s="25">
        <f t="shared" si="36"/>
        <v>782.2</v>
      </c>
      <c r="L345" s="25">
        <f t="shared" si="37"/>
        <v>860</v>
      </c>
      <c r="M345" s="14">
        <f t="shared" si="38"/>
        <v>910</v>
      </c>
    </row>
    <row r="346" spans="1:13" hidden="1" x14ac:dyDescent="0.35">
      <c r="A346" s="21" t="s">
        <v>1888</v>
      </c>
      <c r="B346" s="21" t="s">
        <v>1851</v>
      </c>
      <c r="C346" s="21" t="s">
        <v>1527</v>
      </c>
      <c r="D346" s="34" t="s">
        <v>1530</v>
      </c>
      <c r="E346" s="22" t="s">
        <v>1531</v>
      </c>
      <c r="F346" s="23">
        <v>0</v>
      </c>
      <c r="G346" s="26">
        <v>7</v>
      </c>
      <c r="H346" s="25">
        <v>230</v>
      </c>
      <c r="I346" s="25">
        <v>270</v>
      </c>
      <c r="J346" s="25">
        <v>300</v>
      </c>
      <c r="K346" s="25">
        <f t="shared" si="36"/>
        <v>1610</v>
      </c>
      <c r="L346" s="25">
        <f t="shared" si="37"/>
        <v>1890</v>
      </c>
      <c r="M346" s="14">
        <f t="shared" si="38"/>
        <v>2100</v>
      </c>
    </row>
    <row r="347" spans="1:13" hidden="1" x14ac:dyDescent="0.35">
      <c r="A347" s="21" t="s">
        <v>1441</v>
      </c>
      <c r="B347" s="21" t="s">
        <v>1851</v>
      </c>
      <c r="C347" s="21" t="s">
        <v>1527</v>
      </c>
      <c r="D347" s="34" t="s">
        <v>1532</v>
      </c>
      <c r="E347" s="22" t="s">
        <v>1533</v>
      </c>
      <c r="F347" s="23">
        <v>0</v>
      </c>
      <c r="G347" s="26">
        <v>1</v>
      </c>
      <c r="H347" s="25">
        <v>230</v>
      </c>
      <c r="I347" s="25">
        <v>270</v>
      </c>
      <c r="J347" s="25">
        <v>300</v>
      </c>
      <c r="K347" s="25">
        <f t="shared" si="36"/>
        <v>230</v>
      </c>
      <c r="L347" s="25">
        <f t="shared" si="37"/>
        <v>270</v>
      </c>
      <c r="M347" s="14">
        <f t="shared" si="38"/>
        <v>300</v>
      </c>
    </row>
    <row r="348" spans="1:13" hidden="1" x14ac:dyDescent="0.35">
      <c r="A348" s="21" t="s">
        <v>1441</v>
      </c>
      <c r="B348" s="21" t="s">
        <v>1851</v>
      </c>
      <c r="C348" s="21" t="s">
        <v>1527</v>
      </c>
      <c r="D348" s="34" t="s">
        <v>1534</v>
      </c>
      <c r="E348" s="22" t="s">
        <v>1535</v>
      </c>
      <c r="F348" s="23">
        <v>0</v>
      </c>
      <c r="G348" s="26">
        <v>1</v>
      </c>
      <c r="H348" s="25">
        <v>230</v>
      </c>
      <c r="I348" s="25">
        <v>270</v>
      </c>
      <c r="J348" s="25">
        <v>300</v>
      </c>
      <c r="K348" s="25">
        <f t="shared" si="36"/>
        <v>230</v>
      </c>
      <c r="L348" s="25">
        <f t="shared" si="37"/>
        <v>270</v>
      </c>
      <c r="M348" s="14">
        <f t="shared" si="38"/>
        <v>300</v>
      </c>
    </row>
    <row r="349" spans="1:13" hidden="1" x14ac:dyDescent="0.35">
      <c r="A349" s="21" t="s">
        <v>1441</v>
      </c>
      <c r="B349" s="21" t="s">
        <v>1851</v>
      </c>
      <c r="C349" s="21" t="s">
        <v>1527</v>
      </c>
      <c r="D349" s="34" t="s">
        <v>1536</v>
      </c>
      <c r="E349" s="22" t="s">
        <v>1537</v>
      </c>
      <c r="F349" s="23">
        <v>0</v>
      </c>
      <c r="G349" s="26">
        <v>2</v>
      </c>
      <c r="H349" s="25">
        <v>230</v>
      </c>
      <c r="I349" s="25">
        <v>270</v>
      </c>
      <c r="J349" s="25">
        <v>300</v>
      </c>
      <c r="K349" s="25">
        <f t="shared" si="36"/>
        <v>460</v>
      </c>
      <c r="L349" s="25">
        <f t="shared" si="37"/>
        <v>540</v>
      </c>
      <c r="M349" s="14">
        <f t="shared" si="38"/>
        <v>600</v>
      </c>
    </row>
    <row r="350" spans="1:13" hidden="1" x14ac:dyDescent="0.35">
      <c r="A350" s="21" t="s">
        <v>1441</v>
      </c>
      <c r="B350" s="21" t="s">
        <v>1851</v>
      </c>
      <c r="C350" s="21" t="s">
        <v>1527</v>
      </c>
      <c r="D350" s="34" t="s">
        <v>1540</v>
      </c>
      <c r="E350" s="22" t="s">
        <v>1541</v>
      </c>
      <c r="F350" s="23">
        <v>0</v>
      </c>
      <c r="G350" s="26">
        <v>1</v>
      </c>
      <c r="H350" s="25">
        <v>234</v>
      </c>
      <c r="I350" s="25">
        <v>270</v>
      </c>
      <c r="J350" s="25">
        <v>300</v>
      </c>
      <c r="K350" s="25">
        <f t="shared" si="36"/>
        <v>234</v>
      </c>
      <c r="L350" s="25">
        <f t="shared" si="37"/>
        <v>270</v>
      </c>
      <c r="M350" s="14">
        <f t="shared" si="38"/>
        <v>300</v>
      </c>
    </row>
    <row r="351" spans="1:13" hidden="1" x14ac:dyDescent="0.35">
      <c r="A351" s="21" t="s">
        <v>1441</v>
      </c>
      <c r="B351" s="21" t="s">
        <v>1851</v>
      </c>
      <c r="C351" s="21" t="s">
        <v>1527</v>
      </c>
      <c r="D351" s="34" t="s">
        <v>1546</v>
      </c>
      <c r="E351" s="22" t="s">
        <v>1547</v>
      </c>
      <c r="F351" s="23">
        <v>0</v>
      </c>
      <c r="G351" s="26">
        <v>3</v>
      </c>
      <c r="H351" s="25">
        <v>225</v>
      </c>
      <c r="I351" s="25">
        <v>270</v>
      </c>
      <c r="J351" s="25">
        <v>300</v>
      </c>
      <c r="K351" s="25">
        <f t="shared" si="36"/>
        <v>675</v>
      </c>
      <c r="L351" s="25">
        <f t="shared" si="37"/>
        <v>810</v>
      </c>
      <c r="M351" s="14">
        <f t="shared" si="38"/>
        <v>900</v>
      </c>
    </row>
    <row r="352" spans="1:13" hidden="1" x14ac:dyDescent="0.35">
      <c r="A352" s="21" t="s">
        <v>1441</v>
      </c>
      <c r="B352" s="21" t="s">
        <v>1851</v>
      </c>
      <c r="C352" s="21" t="s">
        <v>1527</v>
      </c>
      <c r="D352" s="34" t="s">
        <v>1548</v>
      </c>
      <c r="E352" s="22" t="s">
        <v>1549</v>
      </c>
      <c r="F352" s="23">
        <v>0</v>
      </c>
      <c r="G352" s="26">
        <v>1</v>
      </c>
      <c r="H352" s="25">
        <v>225</v>
      </c>
      <c r="I352" s="25">
        <v>270</v>
      </c>
      <c r="J352" s="25">
        <v>300</v>
      </c>
      <c r="K352" s="25">
        <f t="shared" si="36"/>
        <v>225</v>
      </c>
      <c r="L352" s="25">
        <f t="shared" si="37"/>
        <v>270</v>
      </c>
      <c r="M352" s="14">
        <f t="shared" si="38"/>
        <v>300</v>
      </c>
    </row>
    <row r="353" spans="1:13" hidden="1" x14ac:dyDescent="0.35">
      <c r="A353" s="21" t="s">
        <v>1411</v>
      </c>
      <c r="B353" s="21" t="s">
        <v>1373</v>
      </c>
      <c r="C353" s="21" t="s">
        <v>1412</v>
      </c>
      <c r="D353" s="34" t="s">
        <v>1433</v>
      </c>
      <c r="E353" s="22" t="s">
        <v>1434</v>
      </c>
      <c r="F353" s="23">
        <v>0</v>
      </c>
      <c r="G353" s="26">
        <v>6</v>
      </c>
      <c r="H353" s="25">
        <v>166</v>
      </c>
      <c r="I353" s="25">
        <v>200</v>
      </c>
      <c r="J353" s="25">
        <v>200</v>
      </c>
      <c r="K353" s="25">
        <f t="shared" si="36"/>
        <v>996</v>
      </c>
      <c r="L353" s="25">
        <f t="shared" si="37"/>
        <v>1200</v>
      </c>
      <c r="M353" s="14">
        <f t="shared" si="38"/>
        <v>1200</v>
      </c>
    </row>
    <row r="354" spans="1:13" hidden="1" x14ac:dyDescent="0.35">
      <c r="A354" s="21" t="s">
        <v>529</v>
      </c>
      <c r="B354" s="31" t="s">
        <v>1826</v>
      </c>
      <c r="C354" s="21" t="s">
        <v>569</v>
      </c>
      <c r="D354" s="34" t="s">
        <v>588</v>
      </c>
      <c r="E354" s="22" t="s">
        <v>589</v>
      </c>
      <c r="F354" s="23">
        <v>0.13</v>
      </c>
      <c r="G354" s="24">
        <v>1</v>
      </c>
      <c r="H354" s="25">
        <v>404</v>
      </c>
      <c r="I354" s="25">
        <v>420</v>
      </c>
      <c r="J354" s="25">
        <v>420</v>
      </c>
      <c r="K354" s="25">
        <f t="shared" si="36"/>
        <v>404</v>
      </c>
      <c r="L354" s="25">
        <f t="shared" si="37"/>
        <v>420</v>
      </c>
      <c r="M354" s="14">
        <f t="shared" si="38"/>
        <v>420</v>
      </c>
    </row>
    <row r="355" spans="1:13" ht="15" hidden="1" customHeight="1" x14ac:dyDescent="0.35">
      <c r="A355" s="21" t="s">
        <v>1372</v>
      </c>
      <c r="B355" s="21" t="s">
        <v>1865</v>
      </c>
      <c r="C355" s="21" t="s">
        <v>1374</v>
      </c>
      <c r="D355" s="34" t="s">
        <v>1381</v>
      </c>
      <c r="E355" s="22" t="s">
        <v>1382</v>
      </c>
      <c r="F355" s="23">
        <v>0</v>
      </c>
      <c r="G355" s="26">
        <v>4</v>
      </c>
      <c r="H355" s="25">
        <v>242</v>
      </c>
      <c r="I355" s="25">
        <v>280</v>
      </c>
      <c r="J355" s="25">
        <v>280</v>
      </c>
      <c r="K355" s="25">
        <f t="shared" si="36"/>
        <v>968</v>
      </c>
      <c r="L355" s="25">
        <f t="shared" si="37"/>
        <v>1120</v>
      </c>
      <c r="M355" s="14">
        <f t="shared" si="38"/>
        <v>1120</v>
      </c>
    </row>
    <row r="356" spans="1:13" hidden="1" x14ac:dyDescent="0.35">
      <c r="A356" s="21" t="s">
        <v>419</v>
      </c>
      <c r="B356" s="31" t="s">
        <v>1373</v>
      </c>
      <c r="C356" s="21" t="s">
        <v>505</v>
      </c>
      <c r="D356" s="34" t="s">
        <v>506</v>
      </c>
      <c r="E356" s="22" t="s">
        <v>507</v>
      </c>
      <c r="F356" s="23">
        <v>0.5</v>
      </c>
      <c r="G356" s="24">
        <v>7</v>
      </c>
      <c r="H356" s="25">
        <v>270.83</v>
      </c>
      <c r="I356" s="25">
        <v>290</v>
      </c>
      <c r="J356" s="25">
        <v>290</v>
      </c>
      <c r="K356" s="25">
        <f t="shared" si="36"/>
        <v>1895.81</v>
      </c>
      <c r="L356" s="25">
        <f t="shared" si="37"/>
        <v>2030</v>
      </c>
      <c r="M356" s="14">
        <f t="shared" si="38"/>
        <v>2030</v>
      </c>
    </row>
    <row r="357" spans="1:13" hidden="1" x14ac:dyDescent="0.35">
      <c r="A357" s="21" t="s">
        <v>1372</v>
      </c>
      <c r="B357" s="21" t="s">
        <v>1373</v>
      </c>
      <c r="C357" s="21" t="s">
        <v>1390</v>
      </c>
      <c r="D357" s="34" t="s">
        <v>1409</v>
      </c>
      <c r="E357" s="22" t="s">
        <v>1410</v>
      </c>
      <c r="F357" s="23">
        <v>0</v>
      </c>
      <c r="G357" s="26">
        <v>6</v>
      </c>
      <c r="H357" s="25">
        <v>130</v>
      </c>
      <c r="I357" s="25">
        <v>180</v>
      </c>
      <c r="J357" s="25">
        <v>180</v>
      </c>
      <c r="K357" s="25">
        <f t="shared" si="36"/>
        <v>780</v>
      </c>
      <c r="L357" s="25">
        <f t="shared" si="37"/>
        <v>1080</v>
      </c>
      <c r="M357" s="14">
        <f t="shared" si="38"/>
        <v>1080</v>
      </c>
    </row>
    <row r="358" spans="1:13" hidden="1" x14ac:dyDescent="0.35">
      <c r="A358" s="21" t="s">
        <v>1411</v>
      </c>
      <c r="B358" s="21" t="s">
        <v>1415</v>
      </c>
      <c r="C358" s="21" t="s">
        <v>1415</v>
      </c>
      <c r="D358" s="34" t="s">
        <v>1421</v>
      </c>
      <c r="E358" s="22" t="s">
        <v>1422</v>
      </c>
      <c r="F358" s="23">
        <v>3</v>
      </c>
      <c r="G358" s="26">
        <v>4</v>
      </c>
      <c r="H358" s="25">
        <v>290</v>
      </c>
      <c r="I358" s="25">
        <v>250</v>
      </c>
      <c r="J358" s="25">
        <v>250</v>
      </c>
      <c r="K358" s="25">
        <f t="shared" si="36"/>
        <v>1160</v>
      </c>
      <c r="L358" s="25">
        <f t="shared" si="37"/>
        <v>1000</v>
      </c>
      <c r="M358" s="14">
        <f t="shared" si="38"/>
        <v>1000</v>
      </c>
    </row>
    <row r="359" spans="1:13" hidden="1" x14ac:dyDescent="0.35">
      <c r="A359" s="21" t="s">
        <v>1372</v>
      </c>
      <c r="B359" s="21" t="s">
        <v>1865</v>
      </c>
      <c r="C359" s="21" t="s">
        <v>1374</v>
      </c>
      <c r="D359" s="34" t="s">
        <v>1377</v>
      </c>
      <c r="E359" s="22" t="s">
        <v>1378</v>
      </c>
      <c r="F359" s="23">
        <v>0</v>
      </c>
      <c r="G359" s="26">
        <v>7</v>
      </c>
      <c r="H359" s="25">
        <v>238</v>
      </c>
      <c r="I359" s="25">
        <v>280</v>
      </c>
      <c r="J359" s="25">
        <v>300</v>
      </c>
      <c r="K359" s="25">
        <f t="shared" si="36"/>
        <v>1666</v>
      </c>
      <c r="L359" s="25">
        <f t="shared" si="37"/>
        <v>1960</v>
      </c>
      <c r="M359" s="14">
        <f t="shared" si="38"/>
        <v>2100</v>
      </c>
    </row>
    <row r="360" spans="1:13" hidden="1" x14ac:dyDescent="0.35">
      <c r="A360" s="21" t="s">
        <v>1372</v>
      </c>
      <c r="B360" s="21" t="s">
        <v>1865</v>
      </c>
      <c r="C360" s="21" t="s">
        <v>1374</v>
      </c>
      <c r="D360" s="34" t="s">
        <v>1383</v>
      </c>
      <c r="E360" s="22" t="s">
        <v>1384</v>
      </c>
      <c r="F360" s="23">
        <v>0</v>
      </c>
      <c r="G360" s="26">
        <v>9</v>
      </c>
      <c r="H360" s="25">
        <v>485</v>
      </c>
      <c r="I360" s="25">
        <v>550</v>
      </c>
      <c r="J360" s="25">
        <v>550</v>
      </c>
      <c r="K360" s="25">
        <f t="shared" si="36"/>
        <v>4365</v>
      </c>
      <c r="L360" s="25">
        <f t="shared" si="37"/>
        <v>4950</v>
      </c>
      <c r="M360" s="14">
        <f t="shared" si="38"/>
        <v>4950</v>
      </c>
    </row>
    <row r="361" spans="1:13" hidden="1" x14ac:dyDescent="0.35">
      <c r="A361" s="21" t="s">
        <v>1372</v>
      </c>
      <c r="B361" s="21" t="s">
        <v>1863</v>
      </c>
      <c r="C361" s="21" t="s">
        <v>1390</v>
      </c>
      <c r="D361" s="34" t="s">
        <v>1407</v>
      </c>
      <c r="E361" s="22" t="s">
        <v>1408</v>
      </c>
      <c r="F361" s="23">
        <v>0</v>
      </c>
      <c r="G361" s="26">
        <v>1</v>
      </c>
      <c r="H361" s="25">
        <v>121</v>
      </c>
      <c r="I361" s="25">
        <v>180</v>
      </c>
      <c r="J361" s="25">
        <v>180</v>
      </c>
      <c r="K361" s="25">
        <f t="shared" si="36"/>
        <v>121</v>
      </c>
      <c r="L361" s="25">
        <f t="shared" si="37"/>
        <v>180</v>
      </c>
      <c r="M361" s="14">
        <f t="shared" si="38"/>
        <v>180</v>
      </c>
    </row>
    <row r="362" spans="1:13" hidden="1" x14ac:dyDescent="0.35">
      <c r="A362" s="21" t="s">
        <v>1372</v>
      </c>
      <c r="B362" s="21" t="s">
        <v>1865</v>
      </c>
      <c r="C362" s="21" t="s">
        <v>1374</v>
      </c>
      <c r="D362" s="34" t="s">
        <v>1375</v>
      </c>
      <c r="E362" s="22" t="s">
        <v>1376</v>
      </c>
      <c r="F362" s="23">
        <v>0</v>
      </c>
      <c r="G362" s="26">
        <v>4</v>
      </c>
      <c r="H362" s="25">
        <v>270</v>
      </c>
      <c r="I362" s="25">
        <v>280</v>
      </c>
      <c r="J362" s="25">
        <v>300</v>
      </c>
      <c r="K362" s="25">
        <f t="shared" ref="K362:K392" si="39">H362*G362</f>
        <v>1080</v>
      </c>
      <c r="L362" s="25">
        <f t="shared" ref="L362:L392" si="40">I362*G362</f>
        <v>1120</v>
      </c>
      <c r="M362" s="14">
        <f t="shared" ref="M362:M392" si="41">J362*G362</f>
        <v>1200</v>
      </c>
    </row>
    <row r="363" spans="1:13" hidden="1" x14ac:dyDescent="0.35">
      <c r="A363" s="21" t="s">
        <v>529</v>
      </c>
      <c r="B363" s="31" t="s">
        <v>1826</v>
      </c>
      <c r="C363" s="21" t="s">
        <v>569</v>
      </c>
      <c r="D363" s="34" t="s">
        <v>583</v>
      </c>
      <c r="E363" s="22" t="s">
        <v>584</v>
      </c>
      <c r="F363" s="23">
        <v>0.13</v>
      </c>
      <c r="G363" s="24">
        <v>1</v>
      </c>
      <c r="H363" s="25">
        <v>140.5</v>
      </c>
      <c r="I363" s="25">
        <v>150</v>
      </c>
      <c r="J363" s="25">
        <v>150</v>
      </c>
      <c r="K363" s="25">
        <f t="shared" si="39"/>
        <v>140.5</v>
      </c>
      <c r="L363" s="25">
        <f t="shared" si="40"/>
        <v>150</v>
      </c>
      <c r="M363" s="14">
        <f t="shared" si="41"/>
        <v>150</v>
      </c>
    </row>
    <row r="364" spans="1:13" hidden="1" x14ac:dyDescent="0.35">
      <c r="A364" s="21" t="s">
        <v>529</v>
      </c>
      <c r="B364" s="31" t="s">
        <v>1826</v>
      </c>
      <c r="C364" s="21" t="s">
        <v>569</v>
      </c>
      <c r="D364" s="34" t="s">
        <v>578</v>
      </c>
      <c r="E364" s="22" t="s">
        <v>579</v>
      </c>
      <c r="F364" s="23">
        <v>0.17</v>
      </c>
      <c r="G364" s="24">
        <v>3</v>
      </c>
      <c r="H364" s="25">
        <v>163.63</v>
      </c>
      <c r="I364" s="25">
        <v>175</v>
      </c>
      <c r="J364" s="25">
        <v>180</v>
      </c>
      <c r="K364" s="25">
        <f t="shared" si="39"/>
        <v>490.89</v>
      </c>
      <c r="L364" s="25">
        <f t="shared" si="40"/>
        <v>525</v>
      </c>
      <c r="M364" s="14">
        <f t="shared" si="41"/>
        <v>540</v>
      </c>
    </row>
    <row r="365" spans="1:13" hidden="1" x14ac:dyDescent="0.35">
      <c r="A365" s="21" t="s">
        <v>529</v>
      </c>
      <c r="B365" s="31" t="s">
        <v>1826</v>
      </c>
      <c r="C365" s="21" t="s">
        <v>569</v>
      </c>
      <c r="D365" s="34" t="s">
        <v>585</v>
      </c>
      <c r="E365" s="22" t="s">
        <v>586</v>
      </c>
      <c r="F365" s="23">
        <v>0.13</v>
      </c>
      <c r="G365" s="24">
        <v>2</v>
      </c>
      <c r="H365" s="25">
        <v>134</v>
      </c>
      <c r="I365" s="25">
        <v>150</v>
      </c>
      <c r="J365" s="25">
        <v>150</v>
      </c>
      <c r="K365" s="25">
        <f t="shared" si="39"/>
        <v>268</v>
      </c>
      <c r="L365" s="25">
        <f t="shared" si="40"/>
        <v>300</v>
      </c>
      <c r="M365" s="14">
        <f t="shared" si="41"/>
        <v>300</v>
      </c>
    </row>
    <row r="366" spans="1:13" hidden="1" x14ac:dyDescent="0.35">
      <c r="A366" s="21" t="s">
        <v>705</v>
      </c>
      <c r="B366" s="21" t="s">
        <v>1826</v>
      </c>
      <c r="C366" s="21" t="s">
        <v>706</v>
      </c>
      <c r="D366" s="34" t="s">
        <v>717</v>
      </c>
      <c r="E366" s="22" t="s">
        <v>718</v>
      </c>
      <c r="F366" s="23">
        <v>0.18</v>
      </c>
      <c r="G366" s="24">
        <v>1</v>
      </c>
      <c r="H366" s="25">
        <v>172</v>
      </c>
      <c r="I366" s="25">
        <v>190</v>
      </c>
      <c r="J366" s="25">
        <v>190</v>
      </c>
      <c r="K366" s="25">
        <f t="shared" si="39"/>
        <v>172</v>
      </c>
      <c r="L366" s="25">
        <f t="shared" si="40"/>
        <v>190</v>
      </c>
      <c r="M366" s="14">
        <f t="shared" si="41"/>
        <v>190</v>
      </c>
    </row>
    <row r="367" spans="1:13" hidden="1" x14ac:dyDescent="0.35">
      <c r="A367" s="21" t="s">
        <v>705</v>
      </c>
      <c r="B367" s="21" t="s">
        <v>1826</v>
      </c>
      <c r="C367" s="21" t="s">
        <v>706</v>
      </c>
      <c r="D367" s="34" t="s">
        <v>725</v>
      </c>
      <c r="E367" s="22" t="s">
        <v>726</v>
      </c>
      <c r="F367" s="23">
        <v>3.1E-2</v>
      </c>
      <c r="G367" s="24">
        <v>11</v>
      </c>
      <c r="H367" s="25">
        <v>32.17</v>
      </c>
      <c r="I367" s="25">
        <v>35</v>
      </c>
      <c r="J367" s="25">
        <v>35</v>
      </c>
      <c r="K367" s="25">
        <f t="shared" si="39"/>
        <v>353.87</v>
      </c>
      <c r="L367" s="25">
        <f t="shared" si="40"/>
        <v>385</v>
      </c>
      <c r="M367" s="14">
        <f t="shared" si="41"/>
        <v>385</v>
      </c>
    </row>
    <row r="368" spans="1:13" hidden="1" x14ac:dyDescent="0.35">
      <c r="A368" s="21" t="s">
        <v>705</v>
      </c>
      <c r="B368" s="21" t="s">
        <v>1826</v>
      </c>
      <c r="C368" s="21" t="s">
        <v>706</v>
      </c>
      <c r="D368" s="34" t="s">
        <v>721</v>
      </c>
      <c r="E368" s="22" t="s">
        <v>722</v>
      </c>
      <c r="F368" s="23">
        <v>4.4999999999999998E-2</v>
      </c>
      <c r="G368" s="24">
        <v>7</v>
      </c>
      <c r="H368" s="25">
        <v>46.21</v>
      </c>
      <c r="I368" s="25">
        <v>50</v>
      </c>
      <c r="J368" s="25">
        <v>50</v>
      </c>
      <c r="K368" s="25">
        <f t="shared" si="39"/>
        <v>323.47000000000003</v>
      </c>
      <c r="L368" s="25">
        <f t="shared" si="40"/>
        <v>350</v>
      </c>
      <c r="M368" s="14">
        <f t="shared" si="41"/>
        <v>350</v>
      </c>
    </row>
    <row r="369" spans="1:13" hidden="1" x14ac:dyDescent="0.35">
      <c r="A369" s="21" t="s">
        <v>419</v>
      </c>
      <c r="B369" s="31" t="s">
        <v>1826</v>
      </c>
      <c r="C369" s="21" t="s">
        <v>1828</v>
      </c>
      <c r="D369" s="34" t="s">
        <v>463</v>
      </c>
      <c r="E369" s="22" t="s">
        <v>464</v>
      </c>
      <c r="F369" s="23">
        <v>0.5</v>
      </c>
      <c r="G369" s="24">
        <v>1</v>
      </c>
      <c r="H369" s="25">
        <v>174</v>
      </c>
      <c r="I369" s="25">
        <v>195</v>
      </c>
      <c r="J369" s="25">
        <v>200</v>
      </c>
      <c r="K369" s="25">
        <f t="shared" si="39"/>
        <v>174</v>
      </c>
      <c r="L369" s="25">
        <f t="shared" si="40"/>
        <v>195</v>
      </c>
      <c r="M369" s="14">
        <f t="shared" si="41"/>
        <v>200</v>
      </c>
    </row>
    <row r="370" spans="1:13" hidden="1" x14ac:dyDescent="0.35">
      <c r="A370" s="21" t="s">
        <v>419</v>
      </c>
      <c r="B370" s="21" t="s">
        <v>1826</v>
      </c>
      <c r="C370" s="21" t="s">
        <v>421</v>
      </c>
      <c r="D370" s="34" t="s">
        <v>430</v>
      </c>
      <c r="E370" s="22" t="s">
        <v>431</v>
      </c>
      <c r="F370" s="23">
        <v>0.39</v>
      </c>
      <c r="G370" s="24">
        <v>3</v>
      </c>
      <c r="H370" s="25">
        <v>92.87</v>
      </c>
      <c r="I370" s="25">
        <v>100</v>
      </c>
      <c r="J370" s="25">
        <v>100</v>
      </c>
      <c r="K370" s="25">
        <f t="shared" si="39"/>
        <v>278.61</v>
      </c>
      <c r="L370" s="25">
        <f t="shared" si="40"/>
        <v>300</v>
      </c>
      <c r="M370" s="14">
        <f t="shared" si="41"/>
        <v>300</v>
      </c>
    </row>
    <row r="371" spans="1:13" hidden="1" x14ac:dyDescent="0.35">
      <c r="A371" s="21" t="s">
        <v>419</v>
      </c>
      <c r="B371" s="21" t="s">
        <v>1826</v>
      </c>
      <c r="C371" s="21" t="s">
        <v>421</v>
      </c>
      <c r="D371" s="34" t="s">
        <v>425</v>
      </c>
      <c r="E371" s="22" t="s">
        <v>424</v>
      </c>
      <c r="F371" s="23">
        <v>1</v>
      </c>
      <c r="G371" s="24">
        <v>5</v>
      </c>
      <c r="H371" s="25">
        <v>254.12</v>
      </c>
      <c r="I371" s="25">
        <v>270</v>
      </c>
      <c r="J371" s="25">
        <v>270</v>
      </c>
      <c r="K371" s="25">
        <f t="shared" si="39"/>
        <v>1270.5999999999999</v>
      </c>
      <c r="L371" s="25">
        <f t="shared" si="40"/>
        <v>1350</v>
      </c>
      <c r="M371" s="14">
        <f t="shared" si="41"/>
        <v>1350</v>
      </c>
    </row>
    <row r="372" spans="1:13" hidden="1" x14ac:dyDescent="0.35">
      <c r="A372" s="21" t="s">
        <v>419</v>
      </c>
      <c r="B372" s="21" t="s">
        <v>1826</v>
      </c>
      <c r="C372" s="21" t="s">
        <v>421</v>
      </c>
      <c r="D372" s="34" t="s">
        <v>422</v>
      </c>
      <c r="E372" s="22" t="s">
        <v>423</v>
      </c>
      <c r="F372" s="23">
        <v>2.5000000000000001E-2</v>
      </c>
      <c r="G372" s="24">
        <v>4</v>
      </c>
      <c r="H372" s="25">
        <v>9</v>
      </c>
      <c r="I372" s="25">
        <v>10</v>
      </c>
      <c r="J372" s="25">
        <v>10</v>
      </c>
      <c r="K372" s="25">
        <f t="shared" si="39"/>
        <v>36</v>
      </c>
      <c r="L372" s="25">
        <f t="shared" si="40"/>
        <v>40</v>
      </c>
      <c r="M372" s="14">
        <f t="shared" si="41"/>
        <v>40</v>
      </c>
    </row>
    <row r="373" spans="1:13" hidden="1" x14ac:dyDescent="0.35">
      <c r="A373" s="21" t="s">
        <v>419</v>
      </c>
      <c r="B373" s="21" t="s">
        <v>1826</v>
      </c>
      <c r="C373" s="21" t="s">
        <v>421</v>
      </c>
      <c r="D373" s="34" t="s">
        <v>428</v>
      </c>
      <c r="E373" s="22" t="s">
        <v>429</v>
      </c>
      <c r="F373" s="23">
        <v>0.185</v>
      </c>
      <c r="G373" s="24">
        <v>8</v>
      </c>
      <c r="H373" s="25">
        <v>47</v>
      </c>
      <c r="I373" s="25">
        <v>50</v>
      </c>
      <c r="J373" s="25">
        <v>50</v>
      </c>
      <c r="K373" s="25">
        <f t="shared" si="39"/>
        <v>376</v>
      </c>
      <c r="L373" s="25">
        <f t="shared" si="40"/>
        <v>400</v>
      </c>
      <c r="M373" s="14">
        <f t="shared" si="41"/>
        <v>400</v>
      </c>
    </row>
    <row r="374" spans="1:13" hidden="1" x14ac:dyDescent="0.35">
      <c r="A374" s="21" t="s">
        <v>1441</v>
      </c>
      <c r="B374" s="21" t="s">
        <v>1826</v>
      </c>
      <c r="C374" s="21" t="s">
        <v>1558</v>
      </c>
      <c r="D374" s="34" t="s">
        <v>1569</v>
      </c>
      <c r="E374" s="22" t="s">
        <v>1570</v>
      </c>
      <c r="F374" s="23">
        <v>0.37</v>
      </c>
      <c r="G374" s="26">
        <v>1</v>
      </c>
      <c r="H374" s="25">
        <v>639</v>
      </c>
      <c r="I374" s="25">
        <v>730</v>
      </c>
      <c r="J374" s="25">
        <v>750</v>
      </c>
      <c r="K374" s="25">
        <f t="shared" si="39"/>
        <v>639</v>
      </c>
      <c r="L374" s="25">
        <f t="shared" si="40"/>
        <v>730</v>
      </c>
      <c r="M374" s="14">
        <f t="shared" si="41"/>
        <v>750</v>
      </c>
    </row>
    <row r="375" spans="1:13" hidden="1" x14ac:dyDescent="0.35">
      <c r="A375" s="21" t="s">
        <v>1441</v>
      </c>
      <c r="B375" s="21" t="s">
        <v>1826</v>
      </c>
      <c r="C375" s="21" t="s">
        <v>1558</v>
      </c>
      <c r="D375" s="34" t="s">
        <v>1575</v>
      </c>
      <c r="E375" s="22" t="s">
        <v>1576</v>
      </c>
      <c r="F375" s="23">
        <v>0.18</v>
      </c>
      <c r="G375" s="26">
        <v>1</v>
      </c>
      <c r="H375" s="25">
        <v>430.5</v>
      </c>
      <c r="I375" s="25">
        <v>470</v>
      </c>
      <c r="J375" s="25">
        <v>480</v>
      </c>
      <c r="K375" s="25">
        <f t="shared" si="39"/>
        <v>430.5</v>
      </c>
      <c r="L375" s="25">
        <f t="shared" si="40"/>
        <v>470</v>
      </c>
      <c r="M375" s="14">
        <f t="shared" si="41"/>
        <v>480</v>
      </c>
    </row>
    <row r="376" spans="1:13" hidden="1" x14ac:dyDescent="0.35">
      <c r="A376" s="21" t="s">
        <v>1441</v>
      </c>
      <c r="B376" s="21" t="s">
        <v>1826</v>
      </c>
      <c r="C376" s="21" t="s">
        <v>1558</v>
      </c>
      <c r="D376" s="34" t="s">
        <v>1577</v>
      </c>
      <c r="E376" s="22" t="s">
        <v>1578</v>
      </c>
      <c r="F376" s="23">
        <v>0.66</v>
      </c>
      <c r="G376" s="26">
        <v>2</v>
      </c>
      <c r="H376" s="25">
        <v>1031.5</v>
      </c>
      <c r="I376" s="25">
        <v>1250</v>
      </c>
      <c r="J376" s="25">
        <v>1300</v>
      </c>
      <c r="K376" s="25">
        <f t="shared" si="39"/>
        <v>2063</v>
      </c>
      <c r="L376" s="25">
        <f t="shared" si="40"/>
        <v>2500</v>
      </c>
      <c r="M376" s="14">
        <f t="shared" si="41"/>
        <v>2600</v>
      </c>
    </row>
    <row r="377" spans="1:13" hidden="1" x14ac:dyDescent="0.35">
      <c r="A377" s="21" t="s">
        <v>1441</v>
      </c>
      <c r="B377" s="21" t="s">
        <v>1826</v>
      </c>
      <c r="C377" s="21" t="s">
        <v>1558</v>
      </c>
      <c r="D377" s="34" t="s">
        <v>1571</v>
      </c>
      <c r="E377" s="22" t="s">
        <v>1877</v>
      </c>
      <c r="F377" s="23">
        <v>0.185</v>
      </c>
      <c r="G377" s="26">
        <v>2</v>
      </c>
      <c r="H377" s="25">
        <v>383.33</v>
      </c>
      <c r="I377" s="25">
        <v>440</v>
      </c>
      <c r="J377" s="25">
        <v>450</v>
      </c>
      <c r="K377" s="25">
        <f t="shared" si="39"/>
        <v>766.66</v>
      </c>
      <c r="L377" s="25">
        <f t="shared" si="40"/>
        <v>880</v>
      </c>
      <c r="M377" s="14">
        <f t="shared" si="41"/>
        <v>900</v>
      </c>
    </row>
    <row r="378" spans="1:13" hidden="1" x14ac:dyDescent="0.35">
      <c r="A378" s="21" t="s">
        <v>419</v>
      </c>
      <c r="B378" s="31" t="s">
        <v>1826</v>
      </c>
      <c r="C378" s="21" t="s">
        <v>442</v>
      </c>
      <c r="D378" s="34" t="s">
        <v>447</v>
      </c>
      <c r="E378" s="22" t="s">
        <v>448</v>
      </c>
      <c r="F378" s="23">
        <v>1</v>
      </c>
      <c r="G378" s="24">
        <v>2</v>
      </c>
      <c r="H378" s="25">
        <v>348.5</v>
      </c>
      <c r="I378" s="25">
        <v>390</v>
      </c>
      <c r="J378" s="25">
        <v>400</v>
      </c>
      <c r="K378" s="25">
        <f t="shared" si="39"/>
        <v>697</v>
      </c>
      <c r="L378" s="25">
        <f t="shared" si="40"/>
        <v>780</v>
      </c>
      <c r="M378" s="14">
        <f t="shared" si="41"/>
        <v>800</v>
      </c>
    </row>
    <row r="379" spans="1:13" hidden="1" x14ac:dyDescent="0.35">
      <c r="A379" s="21" t="s">
        <v>1583</v>
      </c>
      <c r="B379" s="21" t="s">
        <v>1843</v>
      </c>
      <c r="C379" s="21" t="s">
        <v>1584</v>
      </c>
      <c r="D379" s="34" t="s">
        <v>1585</v>
      </c>
      <c r="E379" s="22" t="s">
        <v>1586</v>
      </c>
      <c r="F379" s="23">
        <v>0</v>
      </c>
      <c r="G379" s="26">
        <v>2</v>
      </c>
      <c r="H379" s="25">
        <v>200</v>
      </c>
      <c r="I379" s="25">
        <v>230</v>
      </c>
      <c r="J379" s="25">
        <v>250</v>
      </c>
      <c r="K379" s="25">
        <f t="shared" si="39"/>
        <v>400</v>
      </c>
      <c r="L379" s="25">
        <f t="shared" si="40"/>
        <v>460</v>
      </c>
      <c r="M379" s="14">
        <f t="shared" si="41"/>
        <v>500</v>
      </c>
    </row>
    <row r="380" spans="1:13" hidden="1" x14ac:dyDescent="0.35">
      <c r="A380" s="21" t="s">
        <v>1583</v>
      </c>
      <c r="B380" s="21" t="s">
        <v>1843</v>
      </c>
      <c r="C380" s="21" t="s">
        <v>1584</v>
      </c>
      <c r="D380" s="34" t="s">
        <v>1587</v>
      </c>
      <c r="E380" s="22" t="s">
        <v>1588</v>
      </c>
      <c r="F380" s="23">
        <v>0</v>
      </c>
      <c r="G380" s="26">
        <v>2</v>
      </c>
      <c r="H380" s="25">
        <v>680</v>
      </c>
      <c r="I380" s="25">
        <v>750</v>
      </c>
      <c r="J380" s="25">
        <v>750</v>
      </c>
      <c r="K380" s="25">
        <f t="shared" si="39"/>
        <v>1360</v>
      </c>
      <c r="L380" s="25">
        <f t="shared" si="40"/>
        <v>1500</v>
      </c>
      <c r="M380" s="14">
        <f t="shared" si="41"/>
        <v>1500</v>
      </c>
    </row>
    <row r="381" spans="1:13" hidden="1" x14ac:dyDescent="0.35">
      <c r="A381" s="21" t="s">
        <v>1583</v>
      </c>
      <c r="B381" s="21" t="s">
        <v>1843</v>
      </c>
      <c r="C381" s="21" t="s">
        <v>1589</v>
      </c>
      <c r="D381" s="34" t="s">
        <v>1590</v>
      </c>
      <c r="E381" s="22" t="s">
        <v>1591</v>
      </c>
      <c r="F381" s="23">
        <v>0</v>
      </c>
      <c r="G381" s="26">
        <v>1</v>
      </c>
      <c r="H381" s="25">
        <v>188</v>
      </c>
      <c r="I381" s="25">
        <v>220</v>
      </c>
      <c r="J381" s="25">
        <v>230</v>
      </c>
      <c r="K381" s="25">
        <f t="shared" si="39"/>
        <v>188</v>
      </c>
      <c r="L381" s="25">
        <f t="shared" si="40"/>
        <v>220</v>
      </c>
      <c r="M381" s="14">
        <f t="shared" si="41"/>
        <v>230</v>
      </c>
    </row>
    <row r="382" spans="1:13" hidden="1" x14ac:dyDescent="0.35">
      <c r="A382" s="21" t="s">
        <v>1583</v>
      </c>
      <c r="B382" s="21" t="s">
        <v>1843</v>
      </c>
      <c r="C382" s="21" t="s">
        <v>1589</v>
      </c>
      <c r="D382" s="34" t="s">
        <v>1593</v>
      </c>
      <c r="E382" s="22" t="s">
        <v>1594</v>
      </c>
      <c r="F382" s="23">
        <v>0</v>
      </c>
      <c r="G382" s="26">
        <v>5</v>
      </c>
      <c r="H382" s="25">
        <v>65</v>
      </c>
      <c r="I382" s="25">
        <v>90</v>
      </c>
      <c r="J382" s="25">
        <v>100</v>
      </c>
      <c r="K382" s="25">
        <f t="shared" si="39"/>
        <v>325</v>
      </c>
      <c r="L382" s="25">
        <f t="shared" si="40"/>
        <v>450</v>
      </c>
      <c r="M382" s="14">
        <f t="shared" si="41"/>
        <v>500</v>
      </c>
    </row>
    <row r="383" spans="1:13" hidden="1" x14ac:dyDescent="0.35">
      <c r="A383" s="21" t="s">
        <v>1583</v>
      </c>
      <c r="B383" s="21" t="s">
        <v>1843</v>
      </c>
      <c r="C383" s="21" t="s">
        <v>1599</v>
      </c>
      <c r="D383" s="34" t="s">
        <v>1600</v>
      </c>
      <c r="E383" s="22" t="s">
        <v>1601</v>
      </c>
      <c r="F383" s="23">
        <v>0</v>
      </c>
      <c r="G383" s="26">
        <v>1</v>
      </c>
      <c r="H383" s="25">
        <v>227</v>
      </c>
      <c r="I383" s="25">
        <v>260</v>
      </c>
      <c r="J383" s="25">
        <v>275</v>
      </c>
      <c r="K383" s="25">
        <f t="shared" si="39"/>
        <v>227</v>
      </c>
      <c r="L383" s="25">
        <f t="shared" si="40"/>
        <v>260</v>
      </c>
      <c r="M383" s="14">
        <f t="shared" si="41"/>
        <v>275</v>
      </c>
    </row>
    <row r="384" spans="1:13" hidden="1" x14ac:dyDescent="0.35">
      <c r="A384" s="21" t="s">
        <v>1411</v>
      </c>
      <c r="B384" s="21" t="s">
        <v>1847</v>
      </c>
      <c r="C384" s="21" t="s">
        <v>1438</v>
      </c>
      <c r="D384" s="34" t="s">
        <v>1439</v>
      </c>
      <c r="E384" s="22" t="s">
        <v>1440</v>
      </c>
      <c r="F384" s="23">
        <v>7.4999999999999997E-2</v>
      </c>
      <c r="G384" s="26">
        <v>1</v>
      </c>
      <c r="H384" s="25">
        <v>212.5</v>
      </c>
      <c r="I384" s="25">
        <v>280</v>
      </c>
      <c r="J384" s="25">
        <v>300</v>
      </c>
      <c r="K384" s="25">
        <f t="shared" si="39"/>
        <v>212.5</v>
      </c>
      <c r="L384" s="25">
        <f t="shared" si="40"/>
        <v>280</v>
      </c>
      <c r="M384" s="14">
        <f t="shared" si="41"/>
        <v>300</v>
      </c>
    </row>
    <row r="385" spans="1:13" hidden="1" x14ac:dyDescent="0.35">
      <c r="A385" s="21" t="s">
        <v>1583</v>
      </c>
      <c r="B385" s="21" t="s">
        <v>1847</v>
      </c>
      <c r="C385" s="21" t="s">
        <v>1602</v>
      </c>
      <c r="D385" s="34" t="s">
        <v>1605</v>
      </c>
      <c r="E385" s="22" t="s">
        <v>1606</v>
      </c>
      <c r="F385" s="23">
        <v>0.13</v>
      </c>
      <c r="G385" s="26">
        <v>2</v>
      </c>
      <c r="H385" s="25">
        <v>132.5</v>
      </c>
      <c r="I385" s="25">
        <v>150</v>
      </c>
      <c r="J385" s="25">
        <v>150</v>
      </c>
      <c r="K385" s="25">
        <f t="shared" si="39"/>
        <v>265</v>
      </c>
      <c r="L385" s="25">
        <f t="shared" si="40"/>
        <v>300</v>
      </c>
      <c r="M385" s="14">
        <f t="shared" si="41"/>
        <v>300</v>
      </c>
    </row>
    <row r="386" spans="1:13" hidden="1" x14ac:dyDescent="0.35">
      <c r="A386" s="21" t="s">
        <v>1411</v>
      </c>
      <c r="B386" s="21" t="s">
        <v>1866</v>
      </c>
      <c r="C386" s="21" t="s">
        <v>1435</v>
      </c>
      <c r="D386" s="34" t="s">
        <v>1436</v>
      </c>
      <c r="E386" s="22" t="s">
        <v>1437</v>
      </c>
      <c r="F386" s="23">
        <v>0</v>
      </c>
      <c r="G386" s="26">
        <v>50</v>
      </c>
      <c r="H386" s="25">
        <v>39.200000000000003</v>
      </c>
      <c r="I386" s="25">
        <v>45</v>
      </c>
      <c r="J386" s="25">
        <v>45</v>
      </c>
      <c r="K386" s="25">
        <f t="shared" si="39"/>
        <v>1960.0000000000002</v>
      </c>
      <c r="L386" s="25">
        <f t="shared" si="40"/>
        <v>2250</v>
      </c>
      <c r="M386" s="14">
        <f t="shared" si="41"/>
        <v>2250</v>
      </c>
    </row>
    <row r="387" spans="1:13" hidden="1" x14ac:dyDescent="0.35">
      <c r="A387" s="21" t="s">
        <v>1611</v>
      </c>
      <c r="B387" s="21" t="s">
        <v>1612</v>
      </c>
      <c r="C387" s="21" t="s">
        <v>1613</v>
      </c>
      <c r="D387" s="34" t="s">
        <v>1614</v>
      </c>
      <c r="E387" s="22" t="s">
        <v>248</v>
      </c>
      <c r="F387" s="23">
        <v>0</v>
      </c>
      <c r="G387" s="26">
        <v>8</v>
      </c>
      <c r="H387" s="25">
        <v>45</v>
      </c>
      <c r="I387" s="25">
        <v>60</v>
      </c>
      <c r="J387" s="25">
        <v>60</v>
      </c>
      <c r="K387" s="25">
        <f t="shared" si="39"/>
        <v>360</v>
      </c>
      <c r="L387" s="25">
        <f t="shared" si="40"/>
        <v>480</v>
      </c>
      <c r="M387" s="14">
        <f t="shared" si="41"/>
        <v>480</v>
      </c>
    </row>
    <row r="388" spans="1:13" hidden="1" x14ac:dyDescent="0.35">
      <c r="A388" s="21" t="s">
        <v>419</v>
      </c>
      <c r="B388" s="31" t="s">
        <v>1826</v>
      </c>
      <c r="C388" s="21" t="s">
        <v>442</v>
      </c>
      <c r="D388" s="34" t="s">
        <v>451</v>
      </c>
      <c r="E388" s="22" t="s">
        <v>452</v>
      </c>
      <c r="F388" s="23">
        <v>2</v>
      </c>
      <c r="G388" s="24">
        <v>4</v>
      </c>
      <c r="H388" s="25">
        <v>939</v>
      </c>
      <c r="I388" s="25">
        <v>1000</v>
      </c>
      <c r="J388" s="25">
        <v>1100</v>
      </c>
      <c r="K388" s="25">
        <f t="shared" si="39"/>
        <v>3756</v>
      </c>
      <c r="L388" s="25">
        <f t="shared" si="40"/>
        <v>4000</v>
      </c>
      <c r="M388" s="14">
        <f t="shared" si="41"/>
        <v>4400</v>
      </c>
    </row>
    <row r="389" spans="1:13" hidden="1" x14ac:dyDescent="0.35">
      <c r="A389" s="21" t="s">
        <v>419</v>
      </c>
      <c r="B389" s="31" t="s">
        <v>1826</v>
      </c>
      <c r="C389" s="21" t="s">
        <v>442</v>
      </c>
      <c r="D389" s="34" t="s">
        <v>459</v>
      </c>
      <c r="E389" s="22" t="s">
        <v>460</v>
      </c>
      <c r="F389" s="23">
        <v>1</v>
      </c>
      <c r="G389" s="24">
        <v>2</v>
      </c>
      <c r="H389" s="25">
        <v>493.83</v>
      </c>
      <c r="I389" s="25">
        <v>540</v>
      </c>
      <c r="J389" s="25">
        <v>550</v>
      </c>
      <c r="K389" s="25">
        <f t="shared" si="39"/>
        <v>987.66</v>
      </c>
      <c r="L389" s="25">
        <f t="shared" si="40"/>
        <v>1080</v>
      </c>
      <c r="M389" s="14">
        <f t="shared" si="41"/>
        <v>1100</v>
      </c>
    </row>
    <row r="390" spans="1:13" hidden="1" x14ac:dyDescent="0.35">
      <c r="A390" s="21" t="s">
        <v>419</v>
      </c>
      <c r="B390" s="31" t="s">
        <v>1826</v>
      </c>
      <c r="C390" s="21" t="s">
        <v>442</v>
      </c>
      <c r="D390" s="34" t="s">
        <v>449</v>
      </c>
      <c r="E390" s="22" t="s">
        <v>446</v>
      </c>
      <c r="F390" s="23">
        <v>1.7999999999999999E-2</v>
      </c>
      <c r="G390" s="24">
        <v>8</v>
      </c>
      <c r="H390" s="25">
        <v>8.9450000000000003</v>
      </c>
      <c r="I390" s="25">
        <v>10</v>
      </c>
      <c r="J390" s="25">
        <v>10</v>
      </c>
      <c r="K390" s="25">
        <f t="shared" si="39"/>
        <v>71.56</v>
      </c>
      <c r="L390" s="25">
        <f t="shared" si="40"/>
        <v>80</v>
      </c>
      <c r="M390" s="14">
        <f t="shared" si="41"/>
        <v>80</v>
      </c>
    </row>
    <row r="391" spans="1:13" hidden="1" x14ac:dyDescent="0.35">
      <c r="A391" s="21" t="s">
        <v>419</v>
      </c>
      <c r="B391" s="31" t="s">
        <v>1826</v>
      </c>
      <c r="C391" s="21" t="s">
        <v>442</v>
      </c>
      <c r="D391" s="34" t="s">
        <v>450</v>
      </c>
      <c r="E391" s="22" t="s">
        <v>445</v>
      </c>
      <c r="F391" s="23">
        <v>0.105</v>
      </c>
      <c r="G391" s="24">
        <v>5</v>
      </c>
      <c r="H391" s="25">
        <v>43.5</v>
      </c>
      <c r="I391" s="25">
        <v>50</v>
      </c>
      <c r="J391" s="25">
        <v>50</v>
      </c>
      <c r="K391" s="25">
        <f t="shared" si="39"/>
        <v>217.5</v>
      </c>
      <c r="L391" s="25">
        <f t="shared" si="40"/>
        <v>250</v>
      </c>
      <c r="M391" s="14">
        <f t="shared" si="41"/>
        <v>250</v>
      </c>
    </row>
    <row r="392" spans="1:13" ht="15" hidden="1" customHeight="1" x14ac:dyDescent="0.35">
      <c r="A392" s="21" t="s">
        <v>12</v>
      </c>
      <c r="B392" s="21" t="s">
        <v>13</v>
      </c>
      <c r="C392" s="21" t="s">
        <v>234</v>
      </c>
      <c r="D392" s="34" t="s">
        <v>239</v>
      </c>
      <c r="E392" s="22" t="s">
        <v>240</v>
      </c>
      <c r="F392" s="23">
        <v>1</v>
      </c>
      <c r="G392" s="24">
        <v>19</v>
      </c>
      <c r="H392" s="25">
        <v>142</v>
      </c>
      <c r="I392" s="25">
        <v>150</v>
      </c>
      <c r="J392" s="25">
        <v>160</v>
      </c>
      <c r="K392" s="25">
        <f t="shared" si="39"/>
        <v>2698</v>
      </c>
      <c r="L392" s="25">
        <f t="shared" si="40"/>
        <v>2850</v>
      </c>
      <c r="M392" s="14">
        <f t="shared" si="41"/>
        <v>3040</v>
      </c>
    </row>
    <row r="393" spans="1:13" ht="15" hidden="1" customHeight="1" x14ac:dyDescent="0.35">
      <c r="A393" s="21" t="s">
        <v>1639</v>
      </c>
      <c r="B393" s="31" t="s">
        <v>1411</v>
      </c>
      <c r="C393" s="21" t="s">
        <v>1643</v>
      </c>
      <c r="D393" s="34" t="s">
        <v>1644</v>
      </c>
      <c r="E393" s="22" t="s">
        <v>1645</v>
      </c>
      <c r="F393" s="23">
        <v>0</v>
      </c>
      <c r="G393" s="26">
        <v>7</v>
      </c>
      <c r="H393" s="25">
        <v>41.66</v>
      </c>
      <c r="I393" s="25">
        <v>60</v>
      </c>
      <c r="J393" s="25">
        <v>60</v>
      </c>
      <c r="K393" s="25">
        <f t="shared" ref="K393:K440" si="42">H393*G393</f>
        <v>291.62</v>
      </c>
      <c r="L393" s="25">
        <f t="shared" ref="L393:L440" si="43">I393*G393</f>
        <v>420</v>
      </c>
      <c r="M393" s="14">
        <f t="shared" ref="M393:M440" si="44">J393*G393</f>
        <v>420</v>
      </c>
    </row>
    <row r="394" spans="1:13" hidden="1" x14ac:dyDescent="0.35">
      <c r="A394" s="21" t="s">
        <v>1639</v>
      </c>
      <c r="B394" s="31" t="s">
        <v>1411</v>
      </c>
      <c r="C394" s="21" t="s">
        <v>1643</v>
      </c>
      <c r="D394" s="34" t="s">
        <v>1646</v>
      </c>
      <c r="E394" s="22" t="s">
        <v>1647</v>
      </c>
      <c r="F394" s="23">
        <v>0</v>
      </c>
      <c r="G394" s="26">
        <v>6</v>
      </c>
      <c r="H394" s="25">
        <v>20.833300000000001</v>
      </c>
      <c r="I394" s="25">
        <v>30</v>
      </c>
      <c r="J394" s="25">
        <v>30</v>
      </c>
      <c r="K394" s="25">
        <f t="shared" si="42"/>
        <v>124.99980000000001</v>
      </c>
      <c r="L394" s="25">
        <f t="shared" si="43"/>
        <v>180</v>
      </c>
      <c r="M394" s="14">
        <f t="shared" si="44"/>
        <v>180</v>
      </c>
    </row>
    <row r="395" spans="1:13" s="16" customFormat="1" ht="16.5" hidden="1" customHeight="1" x14ac:dyDescent="0.35">
      <c r="A395" s="21" t="s">
        <v>419</v>
      </c>
      <c r="B395" s="31" t="s">
        <v>1827</v>
      </c>
      <c r="C395" s="21" t="s">
        <v>437</v>
      </c>
      <c r="D395" s="34" t="s">
        <v>438</v>
      </c>
      <c r="E395" s="22" t="s">
        <v>439</v>
      </c>
      <c r="F395" s="23">
        <v>1</v>
      </c>
      <c r="G395" s="24">
        <v>2</v>
      </c>
      <c r="H395" s="25">
        <v>197.15</v>
      </c>
      <c r="I395" s="25">
        <v>225</v>
      </c>
      <c r="J395" s="25">
        <v>230</v>
      </c>
      <c r="K395" s="25">
        <f t="shared" si="42"/>
        <v>394.3</v>
      </c>
      <c r="L395" s="25">
        <f t="shared" si="43"/>
        <v>450</v>
      </c>
      <c r="M395" s="14">
        <f t="shared" si="44"/>
        <v>460</v>
      </c>
    </row>
    <row r="396" spans="1:13" hidden="1" x14ac:dyDescent="0.35">
      <c r="A396" s="21" t="s">
        <v>419</v>
      </c>
      <c r="B396" s="31" t="s">
        <v>1827</v>
      </c>
      <c r="C396" s="21" t="s">
        <v>470</v>
      </c>
      <c r="D396" s="34" t="s">
        <v>477</v>
      </c>
      <c r="E396" s="22" t="s">
        <v>478</v>
      </c>
      <c r="F396" s="23">
        <v>1</v>
      </c>
      <c r="G396" s="24">
        <v>4</v>
      </c>
      <c r="H396" s="25">
        <v>550</v>
      </c>
      <c r="I396" s="25">
        <v>590</v>
      </c>
      <c r="J396" s="25">
        <v>600</v>
      </c>
      <c r="K396" s="25">
        <f t="shared" si="42"/>
        <v>2200</v>
      </c>
      <c r="L396" s="25">
        <f t="shared" si="43"/>
        <v>2360</v>
      </c>
      <c r="M396" s="14">
        <f t="shared" si="44"/>
        <v>2400</v>
      </c>
    </row>
    <row r="397" spans="1:13" hidden="1" x14ac:dyDescent="0.35">
      <c r="A397" s="21" t="s">
        <v>419</v>
      </c>
      <c r="B397" s="31" t="s">
        <v>1827</v>
      </c>
      <c r="C397" s="21" t="s">
        <v>470</v>
      </c>
      <c r="D397" s="34" t="s">
        <v>473</v>
      </c>
      <c r="E397" s="22" t="s">
        <v>474</v>
      </c>
      <c r="F397" s="23">
        <v>0.5</v>
      </c>
      <c r="G397" s="24">
        <v>3</v>
      </c>
      <c r="H397" s="25">
        <v>250</v>
      </c>
      <c r="I397" s="25">
        <v>270</v>
      </c>
      <c r="J397" s="25">
        <v>275</v>
      </c>
      <c r="K397" s="25">
        <f t="shared" si="42"/>
        <v>750</v>
      </c>
      <c r="L397" s="25">
        <f t="shared" si="43"/>
        <v>810</v>
      </c>
      <c r="M397" s="14">
        <f t="shared" si="44"/>
        <v>825</v>
      </c>
    </row>
    <row r="398" spans="1:13" hidden="1" x14ac:dyDescent="0.35">
      <c r="A398" s="21" t="s">
        <v>419</v>
      </c>
      <c r="B398" s="31" t="s">
        <v>1827</v>
      </c>
      <c r="C398" s="21" t="s">
        <v>470</v>
      </c>
      <c r="D398" s="34" t="s">
        <v>475</v>
      </c>
      <c r="E398" s="22" t="s">
        <v>476</v>
      </c>
      <c r="F398" s="23">
        <v>0.105</v>
      </c>
      <c r="G398" s="24">
        <v>19</v>
      </c>
      <c r="H398" s="25">
        <v>45.78</v>
      </c>
      <c r="I398" s="25">
        <v>50</v>
      </c>
      <c r="J398" s="25">
        <v>50</v>
      </c>
      <c r="K398" s="25">
        <f t="shared" si="42"/>
        <v>869.82</v>
      </c>
      <c r="L398" s="25">
        <f t="shared" si="43"/>
        <v>950</v>
      </c>
      <c r="M398" s="14">
        <f t="shared" si="44"/>
        <v>950</v>
      </c>
    </row>
    <row r="399" spans="1:13" hidden="1" x14ac:dyDescent="0.35">
      <c r="A399" s="21" t="s">
        <v>419</v>
      </c>
      <c r="B399" s="31" t="s">
        <v>1827</v>
      </c>
      <c r="C399" s="21" t="s">
        <v>470</v>
      </c>
      <c r="D399" s="34" t="s">
        <v>471</v>
      </c>
      <c r="E399" s="22" t="s">
        <v>472</v>
      </c>
      <c r="F399" s="23">
        <v>0.04</v>
      </c>
      <c r="G399" s="24">
        <v>17</v>
      </c>
      <c r="H399" s="25">
        <v>18.309999999999999</v>
      </c>
      <c r="I399" s="25">
        <v>20</v>
      </c>
      <c r="J399" s="25">
        <v>20</v>
      </c>
      <c r="K399" s="25">
        <f t="shared" si="42"/>
        <v>311.27</v>
      </c>
      <c r="L399" s="25">
        <f t="shared" si="43"/>
        <v>340</v>
      </c>
      <c r="M399" s="14">
        <f t="shared" si="44"/>
        <v>340</v>
      </c>
    </row>
    <row r="400" spans="1:13" hidden="1" x14ac:dyDescent="0.35">
      <c r="A400" s="21" t="s">
        <v>1639</v>
      </c>
      <c r="B400" s="31" t="s">
        <v>1827</v>
      </c>
      <c r="C400" s="21" t="s">
        <v>1693</v>
      </c>
      <c r="D400" s="34" t="s">
        <v>1694</v>
      </c>
      <c r="E400" s="22" t="s">
        <v>1695</v>
      </c>
      <c r="F400" s="23">
        <v>0</v>
      </c>
      <c r="G400" s="24">
        <v>7</v>
      </c>
      <c r="H400" s="25">
        <v>70.52</v>
      </c>
      <c r="I400" s="25">
        <v>100</v>
      </c>
      <c r="J400" s="25">
        <v>100</v>
      </c>
      <c r="K400" s="25">
        <f t="shared" si="42"/>
        <v>493.64</v>
      </c>
      <c r="L400" s="25">
        <f t="shared" si="43"/>
        <v>700</v>
      </c>
      <c r="M400" s="14">
        <f t="shared" si="44"/>
        <v>700</v>
      </c>
    </row>
    <row r="401" spans="1:13" hidden="1" x14ac:dyDescent="0.35">
      <c r="A401" s="21" t="s">
        <v>1639</v>
      </c>
      <c r="B401" s="31" t="s">
        <v>1827</v>
      </c>
      <c r="C401" s="21" t="s">
        <v>1648</v>
      </c>
      <c r="D401" s="34" t="s">
        <v>1655</v>
      </c>
      <c r="E401" s="22" t="s">
        <v>1656</v>
      </c>
      <c r="F401" s="23">
        <v>0.2</v>
      </c>
      <c r="G401" s="24">
        <v>1</v>
      </c>
      <c r="H401" s="25">
        <v>359.73</v>
      </c>
      <c r="I401" s="25">
        <v>390</v>
      </c>
      <c r="J401" s="25">
        <v>400</v>
      </c>
      <c r="K401" s="25">
        <f t="shared" si="42"/>
        <v>359.73</v>
      </c>
      <c r="L401" s="25">
        <f t="shared" si="43"/>
        <v>390</v>
      </c>
      <c r="M401" s="14">
        <f t="shared" si="44"/>
        <v>400</v>
      </c>
    </row>
    <row r="402" spans="1:13" hidden="1" x14ac:dyDescent="0.35">
      <c r="A402" s="21" t="s">
        <v>1639</v>
      </c>
      <c r="B402" s="31" t="s">
        <v>1827</v>
      </c>
      <c r="C402" s="21" t="s">
        <v>1648</v>
      </c>
      <c r="D402" s="34" t="s">
        <v>1663</v>
      </c>
      <c r="E402" s="22" t="s">
        <v>1664</v>
      </c>
      <c r="F402" s="23">
        <v>0.1</v>
      </c>
      <c r="G402" s="24">
        <v>2</v>
      </c>
      <c r="H402" s="25">
        <v>199.46</v>
      </c>
      <c r="I402" s="25">
        <v>210</v>
      </c>
      <c r="J402" s="25">
        <v>220</v>
      </c>
      <c r="K402" s="25">
        <f t="shared" si="42"/>
        <v>398.92</v>
      </c>
      <c r="L402" s="25">
        <f t="shared" si="43"/>
        <v>420</v>
      </c>
      <c r="M402" s="14">
        <f t="shared" si="44"/>
        <v>440</v>
      </c>
    </row>
    <row r="403" spans="1:13" hidden="1" x14ac:dyDescent="0.35">
      <c r="A403" s="21" t="s">
        <v>1639</v>
      </c>
      <c r="B403" s="31" t="s">
        <v>1827</v>
      </c>
      <c r="C403" s="21" t="s">
        <v>1648</v>
      </c>
      <c r="D403" s="34" t="s">
        <v>1679</v>
      </c>
      <c r="E403" s="22" t="s">
        <v>1680</v>
      </c>
      <c r="F403" s="23">
        <v>7.0000000000000007E-2</v>
      </c>
      <c r="G403" s="24">
        <v>4</v>
      </c>
      <c r="H403" s="25">
        <v>89.16</v>
      </c>
      <c r="I403" s="25">
        <v>100</v>
      </c>
      <c r="J403" s="25">
        <v>100</v>
      </c>
      <c r="K403" s="25">
        <f t="shared" si="42"/>
        <v>356.64</v>
      </c>
      <c r="L403" s="25">
        <f t="shared" si="43"/>
        <v>400</v>
      </c>
      <c r="M403" s="14">
        <f t="shared" si="44"/>
        <v>400</v>
      </c>
    </row>
    <row r="404" spans="1:13" hidden="1" x14ac:dyDescent="0.35">
      <c r="A404" s="21" t="s">
        <v>1639</v>
      </c>
      <c r="B404" s="31" t="s">
        <v>1827</v>
      </c>
      <c r="C404" s="21" t="s">
        <v>1648</v>
      </c>
      <c r="D404" s="34" t="s">
        <v>1666</v>
      </c>
      <c r="E404" s="22" t="s">
        <v>1667</v>
      </c>
      <c r="F404" s="23">
        <v>0</v>
      </c>
      <c r="G404" s="24">
        <v>3</v>
      </c>
      <c r="H404" s="25">
        <v>198.64</v>
      </c>
      <c r="I404" s="25">
        <v>210</v>
      </c>
      <c r="J404" s="25">
        <v>220</v>
      </c>
      <c r="K404" s="25">
        <f t="shared" si="42"/>
        <v>595.91999999999996</v>
      </c>
      <c r="L404" s="25">
        <f t="shared" si="43"/>
        <v>630</v>
      </c>
      <c r="M404" s="14">
        <f t="shared" si="44"/>
        <v>660</v>
      </c>
    </row>
    <row r="405" spans="1:13" hidden="1" x14ac:dyDescent="0.35">
      <c r="A405" s="21" t="s">
        <v>1639</v>
      </c>
      <c r="B405" s="31" t="s">
        <v>1827</v>
      </c>
      <c r="C405" s="21" t="s">
        <v>1648</v>
      </c>
      <c r="D405" s="34" t="s">
        <v>1668</v>
      </c>
      <c r="E405" s="22" t="s">
        <v>1669</v>
      </c>
      <c r="F405" s="23">
        <v>0</v>
      </c>
      <c r="G405" s="24">
        <v>3</v>
      </c>
      <c r="H405" s="25">
        <v>200.35</v>
      </c>
      <c r="I405" s="25">
        <v>210</v>
      </c>
      <c r="J405" s="25">
        <v>220</v>
      </c>
      <c r="K405" s="25">
        <f t="shared" si="42"/>
        <v>601.04999999999995</v>
      </c>
      <c r="L405" s="25">
        <f t="shared" si="43"/>
        <v>630</v>
      </c>
      <c r="M405" s="14">
        <f t="shared" si="44"/>
        <v>660</v>
      </c>
    </row>
    <row r="406" spans="1:13" hidden="1" x14ac:dyDescent="0.35">
      <c r="A406" s="21" t="s">
        <v>1639</v>
      </c>
      <c r="B406" s="31" t="s">
        <v>1827</v>
      </c>
      <c r="C406" s="21" t="s">
        <v>1648</v>
      </c>
      <c r="D406" s="34" t="s">
        <v>1670</v>
      </c>
      <c r="E406" s="22" t="s">
        <v>1671</v>
      </c>
      <c r="F406" s="23">
        <v>0</v>
      </c>
      <c r="G406" s="24">
        <v>1</v>
      </c>
      <c r="H406" s="25">
        <v>293.64</v>
      </c>
      <c r="I406" s="25">
        <v>315</v>
      </c>
      <c r="J406" s="25">
        <v>325</v>
      </c>
      <c r="K406" s="25">
        <f t="shared" si="42"/>
        <v>293.64</v>
      </c>
      <c r="L406" s="25">
        <f t="shared" si="43"/>
        <v>315</v>
      </c>
      <c r="M406" s="14">
        <f t="shared" si="44"/>
        <v>325</v>
      </c>
    </row>
    <row r="407" spans="1:13" hidden="1" x14ac:dyDescent="0.35">
      <c r="A407" s="21" t="s">
        <v>1639</v>
      </c>
      <c r="B407" s="31" t="s">
        <v>1827</v>
      </c>
      <c r="C407" s="21" t="s">
        <v>1648</v>
      </c>
      <c r="D407" s="34" t="s">
        <v>1683</v>
      </c>
      <c r="E407" s="22" t="s">
        <v>1684</v>
      </c>
      <c r="F407" s="23">
        <v>0.2</v>
      </c>
      <c r="G407" s="24">
        <v>3</v>
      </c>
      <c r="H407" s="25">
        <v>224.06</v>
      </c>
      <c r="I407" s="25">
        <v>240</v>
      </c>
      <c r="J407" s="25">
        <v>250</v>
      </c>
      <c r="K407" s="25">
        <f t="shared" si="42"/>
        <v>672.18000000000006</v>
      </c>
      <c r="L407" s="25">
        <f t="shared" si="43"/>
        <v>720</v>
      </c>
      <c r="M407" s="14">
        <f t="shared" si="44"/>
        <v>750</v>
      </c>
    </row>
    <row r="408" spans="1:13" hidden="1" x14ac:dyDescent="0.35">
      <c r="A408" s="21" t="s">
        <v>1639</v>
      </c>
      <c r="B408" s="31" t="s">
        <v>1827</v>
      </c>
      <c r="C408" s="21" t="s">
        <v>1648</v>
      </c>
      <c r="D408" s="34" t="s">
        <v>1649</v>
      </c>
      <c r="E408" s="22" t="s">
        <v>1650</v>
      </c>
      <c r="F408" s="23">
        <v>7.4999999999999997E-2</v>
      </c>
      <c r="G408" s="24">
        <v>2</v>
      </c>
      <c r="H408" s="25">
        <v>171.46</v>
      </c>
      <c r="I408" s="25">
        <v>180</v>
      </c>
      <c r="J408" s="25">
        <v>190</v>
      </c>
      <c r="K408" s="25">
        <f t="shared" si="42"/>
        <v>342.92</v>
      </c>
      <c r="L408" s="25">
        <f t="shared" si="43"/>
        <v>360</v>
      </c>
      <c r="M408" s="14">
        <f t="shared" si="44"/>
        <v>380</v>
      </c>
    </row>
    <row r="409" spans="1:13" hidden="1" x14ac:dyDescent="0.35">
      <c r="A409" s="21" t="s">
        <v>1639</v>
      </c>
      <c r="B409" s="31" t="s">
        <v>1827</v>
      </c>
      <c r="C409" s="21" t="s">
        <v>1648</v>
      </c>
      <c r="D409" s="34" t="s">
        <v>1651</v>
      </c>
      <c r="E409" s="22" t="s">
        <v>1652</v>
      </c>
      <c r="F409" s="23">
        <v>0.15</v>
      </c>
      <c r="G409" s="24">
        <v>3</v>
      </c>
      <c r="H409" s="25">
        <v>283.08999999999997</v>
      </c>
      <c r="I409" s="25">
        <v>310</v>
      </c>
      <c r="J409" s="25">
        <v>320</v>
      </c>
      <c r="K409" s="25">
        <f t="shared" si="42"/>
        <v>849.27</v>
      </c>
      <c r="L409" s="25">
        <f t="shared" si="43"/>
        <v>930</v>
      </c>
      <c r="M409" s="14">
        <f t="shared" si="44"/>
        <v>960</v>
      </c>
    </row>
    <row r="410" spans="1:13" hidden="1" x14ac:dyDescent="0.35">
      <c r="A410" s="21" t="s">
        <v>1639</v>
      </c>
      <c r="B410" s="31" t="s">
        <v>1827</v>
      </c>
      <c r="C410" s="21" t="s">
        <v>1648</v>
      </c>
      <c r="D410" s="34" t="s">
        <v>1676</v>
      </c>
      <c r="E410" s="22" t="s">
        <v>1677</v>
      </c>
      <c r="F410" s="23">
        <v>3.5000000000000003E-2</v>
      </c>
      <c r="G410" s="24">
        <v>1</v>
      </c>
      <c r="H410" s="25">
        <v>45.5</v>
      </c>
      <c r="I410" s="25">
        <v>50</v>
      </c>
      <c r="J410" s="25">
        <v>50</v>
      </c>
      <c r="K410" s="25">
        <f t="shared" si="42"/>
        <v>45.5</v>
      </c>
      <c r="L410" s="25">
        <f t="shared" si="43"/>
        <v>50</v>
      </c>
      <c r="M410" s="14">
        <f t="shared" si="44"/>
        <v>50</v>
      </c>
    </row>
    <row r="411" spans="1:13" hidden="1" x14ac:dyDescent="0.35">
      <c r="A411" s="21" t="s">
        <v>1639</v>
      </c>
      <c r="B411" s="31" t="s">
        <v>1827</v>
      </c>
      <c r="C411" s="21" t="s">
        <v>1648</v>
      </c>
      <c r="D411" s="34" t="s">
        <v>1657</v>
      </c>
      <c r="E411" s="22" t="s">
        <v>1658</v>
      </c>
      <c r="F411" s="23">
        <v>0</v>
      </c>
      <c r="G411" s="24">
        <v>5</v>
      </c>
      <c r="H411" s="25">
        <v>60.95</v>
      </c>
      <c r="I411" s="25">
        <v>70</v>
      </c>
      <c r="J411" s="25">
        <v>70</v>
      </c>
      <c r="K411" s="25">
        <f t="shared" si="42"/>
        <v>304.75</v>
      </c>
      <c r="L411" s="25">
        <f t="shared" si="43"/>
        <v>350</v>
      </c>
      <c r="M411" s="14">
        <f t="shared" si="44"/>
        <v>350</v>
      </c>
    </row>
    <row r="412" spans="1:13" hidden="1" x14ac:dyDescent="0.35">
      <c r="A412" s="21" t="s">
        <v>1639</v>
      </c>
      <c r="B412" s="31" t="s">
        <v>1827</v>
      </c>
      <c r="C412" s="21" t="s">
        <v>1648</v>
      </c>
      <c r="D412" s="34" t="s">
        <v>1681</v>
      </c>
      <c r="E412" s="22" t="s">
        <v>1682</v>
      </c>
      <c r="F412" s="23">
        <v>0.13</v>
      </c>
      <c r="G412" s="24">
        <v>4</v>
      </c>
      <c r="H412" s="25">
        <v>160.43299999999999</v>
      </c>
      <c r="I412" s="25">
        <v>175</v>
      </c>
      <c r="J412" s="25">
        <v>180</v>
      </c>
      <c r="K412" s="25">
        <f t="shared" si="42"/>
        <v>641.73199999999997</v>
      </c>
      <c r="L412" s="25">
        <f t="shared" si="43"/>
        <v>700</v>
      </c>
      <c r="M412" s="14">
        <f t="shared" si="44"/>
        <v>720</v>
      </c>
    </row>
    <row r="413" spans="1:13" hidden="1" x14ac:dyDescent="0.35">
      <c r="A413" s="21" t="s">
        <v>1639</v>
      </c>
      <c r="B413" s="31" t="s">
        <v>1827</v>
      </c>
      <c r="C413" s="21" t="s">
        <v>1648</v>
      </c>
      <c r="D413" s="34" t="s">
        <v>1674</v>
      </c>
      <c r="E413" s="22" t="s">
        <v>1675</v>
      </c>
      <c r="F413" s="23">
        <v>5.5E-2</v>
      </c>
      <c r="G413" s="24">
        <v>7</v>
      </c>
      <c r="H413" s="25">
        <v>89.9</v>
      </c>
      <c r="I413" s="25">
        <v>100</v>
      </c>
      <c r="J413" s="25">
        <v>100</v>
      </c>
      <c r="K413" s="25">
        <f t="shared" si="42"/>
        <v>629.30000000000007</v>
      </c>
      <c r="L413" s="25">
        <f t="shared" si="43"/>
        <v>700</v>
      </c>
      <c r="M413" s="14">
        <f t="shared" si="44"/>
        <v>700</v>
      </c>
    </row>
    <row r="414" spans="1:13" hidden="1" x14ac:dyDescent="0.35">
      <c r="A414" s="21" t="s">
        <v>1639</v>
      </c>
      <c r="B414" s="31" t="s">
        <v>1827</v>
      </c>
      <c r="C414" s="21" t="s">
        <v>1648</v>
      </c>
      <c r="D414" s="34" t="s">
        <v>1665</v>
      </c>
      <c r="E414" s="22" t="s">
        <v>1861</v>
      </c>
      <c r="F414" s="23">
        <v>7.4999999999999997E-2</v>
      </c>
      <c r="G414" s="24">
        <v>9</v>
      </c>
      <c r="H414" s="25">
        <v>64.739999999999995</v>
      </c>
      <c r="I414" s="25">
        <v>75</v>
      </c>
      <c r="J414" s="25">
        <v>75</v>
      </c>
      <c r="K414" s="25">
        <f t="shared" si="42"/>
        <v>582.66</v>
      </c>
      <c r="L414" s="25">
        <f t="shared" si="43"/>
        <v>675</v>
      </c>
      <c r="M414" s="14">
        <f t="shared" si="44"/>
        <v>675</v>
      </c>
    </row>
    <row r="415" spans="1:13" hidden="1" x14ac:dyDescent="0.35">
      <c r="A415" s="21" t="s">
        <v>419</v>
      </c>
      <c r="B415" s="31" t="s">
        <v>1827</v>
      </c>
      <c r="C415" s="21" t="s">
        <v>432</v>
      </c>
      <c r="D415" s="34" t="s">
        <v>433</v>
      </c>
      <c r="E415" s="22" t="s">
        <v>434</v>
      </c>
      <c r="F415" s="23">
        <v>0.5</v>
      </c>
      <c r="G415" s="24">
        <v>1</v>
      </c>
      <c r="H415" s="25">
        <v>196</v>
      </c>
      <c r="I415" s="25">
        <v>210</v>
      </c>
      <c r="J415" s="25">
        <v>215</v>
      </c>
      <c r="K415" s="25">
        <f t="shared" si="42"/>
        <v>196</v>
      </c>
      <c r="L415" s="25">
        <f t="shared" si="43"/>
        <v>210</v>
      </c>
      <c r="M415" s="14">
        <f t="shared" si="44"/>
        <v>215</v>
      </c>
    </row>
    <row r="416" spans="1:13" hidden="1" x14ac:dyDescent="0.35">
      <c r="A416" s="21" t="s">
        <v>419</v>
      </c>
      <c r="B416" s="31" t="s">
        <v>1827</v>
      </c>
      <c r="C416" s="21" t="s">
        <v>432</v>
      </c>
      <c r="D416" s="34" t="s">
        <v>435</v>
      </c>
      <c r="E416" s="22" t="s">
        <v>436</v>
      </c>
      <c r="F416" s="23">
        <v>1</v>
      </c>
      <c r="G416" s="24">
        <v>5</v>
      </c>
      <c r="H416" s="25">
        <v>359.58</v>
      </c>
      <c r="I416" s="25">
        <v>390</v>
      </c>
      <c r="J416" s="25">
        <v>400</v>
      </c>
      <c r="K416" s="25">
        <f t="shared" si="42"/>
        <v>1797.8999999999999</v>
      </c>
      <c r="L416" s="25">
        <f t="shared" si="43"/>
        <v>1950</v>
      </c>
      <c r="M416" s="14">
        <f t="shared" si="44"/>
        <v>2000</v>
      </c>
    </row>
    <row r="417" spans="1:13" hidden="1" x14ac:dyDescent="0.35">
      <c r="A417" s="21" t="s">
        <v>1611</v>
      </c>
      <c r="B417" s="31" t="s">
        <v>1827</v>
      </c>
      <c r="C417" s="21" t="s">
        <v>1615</v>
      </c>
      <c r="D417" s="34" t="s">
        <v>1622</v>
      </c>
      <c r="E417" s="22" t="s">
        <v>1623</v>
      </c>
      <c r="F417" s="23">
        <v>0</v>
      </c>
      <c r="G417" s="24">
        <v>5</v>
      </c>
      <c r="H417" s="25">
        <v>65</v>
      </c>
      <c r="I417" s="25">
        <v>70</v>
      </c>
      <c r="J417" s="25">
        <v>70</v>
      </c>
      <c r="K417" s="25">
        <f t="shared" si="42"/>
        <v>325</v>
      </c>
      <c r="L417" s="25">
        <f t="shared" si="43"/>
        <v>350</v>
      </c>
      <c r="M417" s="14">
        <f t="shared" si="44"/>
        <v>350</v>
      </c>
    </row>
    <row r="418" spans="1:13" hidden="1" x14ac:dyDescent="0.35">
      <c r="A418" s="21" t="s">
        <v>1611</v>
      </c>
      <c r="B418" s="31" t="s">
        <v>1827</v>
      </c>
      <c r="C418" s="21" t="s">
        <v>1615</v>
      </c>
      <c r="D418" s="34" t="s">
        <v>1630</v>
      </c>
      <c r="E418" s="22" t="s">
        <v>1631</v>
      </c>
      <c r="F418" s="23">
        <v>0.09</v>
      </c>
      <c r="G418" s="24">
        <v>12</v>
      </c>
      <c r="H418" s="25">
        <v>28.22</v>
      </c>
      <c r="I418" s="25">
        <v>30</v>
      </c>
      <c r="J418" s="25">
        <v>30</v>
      </c>
      <c r="K418" s="25">
        <f t="shared" si="42"/>
        <v>338.64</v>
      </c>
      <c r="L418" s="25">
        <f t="shared" si="43"/>
        <v>360</v>
      </c>
      <c r="M418" s="14">
        <f t="shared" si="44"/>
        <v>360</v>
      </c>
    </row>
    <row r="419" spans="1:13" hidden="1" x14ac:dyDescent="0.35">
      <c r="A419" s="21" t="s">
        <v>1611</v>
      </c>
      <c r="B419" s="31" t="s">
        <v>1827</v>
      </c>
      <c r="C419" s="21" t="s">
        <v>1615</v>
      </c>
      <c r="D419" s="34" t="s">
        <v>1632</v>
      </c>
      <c r="E419" s="22" t="s">
        <v>1633</v>
      </c>
      <c r="F419" s="23">
        <v>0.26500000000000001</v>
      </c>
      <c r="G419" s="24">
        <v>8</v>
      </c>
      <c r="H419" s="25">
        <v>75</v>
      </c>
      <c r="I419" s="25">
        <v>80</v>
      </c>
      <c r="J419" s="25">
        <v>80</v>
      </c>
      <c r="K419" s="25">
        <f t="shared" si="42"/>
        <v>600</v>
      </c>
      <c r="L419" s="25">
        <f t="shared" si="43"/>
        <v>640</v>
      </c>
      <c r="M419" s="14">
        <f t="shared" si="44"/>
        <v>640</v>
      </c>
    </row>
    <row r="420" spans="1:13" hidden="1" x14ac:dyDescent="0.35">
      <c r="A420" s="21" t="s">
        <v>1611</v>
      </c>
      <c r="B420" s="31" t="s">
        <v>1827</v>
      </c>
      <c r="C420" s="21" t="s">
        <v>1615</v>
      </c>
      <c r="D420" s="34" t="s">
        <v>1618</v>
      </c>
      <c r="E420" s="22" t="s">
        <v>1619</v>
      </c>
      <c r="F420" s="23">
        <v>0.28999999999999998</v>
      </c>
      <c r="G420" s="24">
        <v>17</v>
      </c>
      <c r="H420" s="25">
        <v>84.3</v>
      </c>
      <c r="I420" s="25">
        <v>90</v>
      </c>
      <c r="J420" s="25">
        <v>90</v>
      </c>
      <c r="K420" s="25">
        <f t="shared" si="42"/>
        <v>1433.1</v>
      </c>
      <c r="L420" s="25">
        <f t="shared" si="43"/>
        <v>1530</v>
      </c>
      <c r="M420" s="14">
        <f t="shared" si="44"/>
        <v>1530</v>
      </c>
    </row>
    <row r="421" spans="1:13" hidden="1" x14ac:dyDescent="0.35">
      <c r="A421" s="21" t="s">
        <v>1611</v>
      </c>
      <c r="B421" s="31" t="s">
        <v>1827</v>
      </c>
      <c r="C421" s="21" t="s">
        <v>1615</v>
      </c>
      <c r="D421" s="34" t="s">
        <v>1616</v>
      </c>
      <c r="E421" s="22" t="s">
        <v>1617</v>
      </c>
      <c r="F421" s="23">
        <v>0.16500000000000001</v>
      </c>
      <c r="G421" s="24">
        <v>26</v>
      </c>
      <c r="H421" s="25">
        <v>48</v>
      </c>
      <c r="I421" s="25">
        <v>50</v>
      </c>
      <c r="J421" s="25">
        <v>50</v>
      </c>
      <c r="K421" s="25">
        <f t="shared" si="42"/>
        <v>1248</v>
      </c>
      <c r="L421" s="25">
        <f t="shared" si="43"/>
        <v>1300</v>
      </c>
      <c r="M421" s="14">
        <f t="shared" si="44"/>
        <v>1300</v>
      </c>
    </row>
    <row r="422" spans="1:13" hidden="1" x14ac:dyDescent="0.35">
      <c r="A422" s="21" t="s">
        <v>1639</v>
      </c>
      <c r="B422" s="31" t="s">
        <v>1853</v>
      </c>
      <c r="C422" s="21" t="s">
        <v>1685</v>
      </c>
      <c r="D422" s="34" t="s">
        <v>1686</v>
      </c>
      <c r="E422" s="22" t="s">
        <v>1687</v>
      </c>
      <c r="F422" s="23">
        <v>0.09</v>
      </c>
      <c r="G422" s="26">
        <v>2</v>
      </c>
      <c r="H422" s="25">
        <v>240</v>
      </c>
      <c r="I422" s="25">
        <v>280</v>
      </c>
      <c r="J422" s="25">
        <v>285</v>
      </c>
      <c r="K422" s="25">
        <f t="shared" si="42"/>
        <v>480</v>
      </c>
      <c r="L422" s="25">
        <f t="shared" si="43"/>
        <v>560</v>
      </c>
      <c r="M422" s="14">
        <f t="shared" si="44"/>
        <v>570</v>
      </c>
    </row>
    <row r="423" spans="1:13" hidden="1" x14ac:dyDescent="0.35">
      <c r="A423" s="21" t="s">
        <v>1639</v>
      </c>
      <c r="B423" s="31" t="s">
        <v>1853</v>
      </c>
      <c r="C423" s="21" t="s">
        <v>1685</v>
      </c>
      <c r="D423" s="34" t="s">
        <v>1688</v>
      </c>
      <c r="E423" s="22" t="s">
        <v>1689</v>
      </c>
      <c r="F423" s="23">
        <v>0.14000000000000001</v>
      </c>
      <c r="G423" s="26">
        <v>1</v>
      </c>
      <c r="H423" s="25">
        <v>260</v>
      </c>
      <c r="I423" s="25">
        <v>300</v>
      </c>
      <c r="J423" s="25">
        <v>310</v>
      </c>
      <c r="K423" s="25">
        <f t="shared" si="42"/>
        <v>260</v>
      </c>
      <c r="L423" s="25">
        <f t="shared" si="43"/>
        <v>300</v>
      </c>
      <c r="M423" s="14">
        <f t="shared" si="44"/>
        <v>310</v>
      </c>
    </row>
    <row r="424" spans="1:13" hidden="1" x14ac:dyDescent="0.35">
      <c r="A424" s="21" t="s">
        <v>1639</v>
      </c>
      <c r="B424" s="31" t="s">
        <v>1854</v>
      </c>
      <c r="C424" s="21" t="s">
        <v>1690</v>
      </c>
      <c r="D424" s="34" t="s">
        <v>1691</v>
      </c>
      <c r="E424" s="22" t="s">
        <v>1692</v>
      </c>
      <c r="F424" s="23">
        <v>6.5000000000000002E-2</v>
      </c>
      <c r="G424" s="26">
        <v>5</v>
      </c>
      <c r="H424" s="25">
        <v>160</v>
      </c>
      <c r="I424" s="25">
        <v>190</v>
      </c>
      <c r="J424" s="25">
        <v>200</v>
      </c>
      <c r="K424" s="25">
        <f t="shared" si="42"/>
        <v>800</v>
      </c>
      <c r="L424" s="25">
        <f t="shared" si="43"/>
        <v>950</v>
      </c>
      <c r="M424" s="14">
        <f t="shared" si="44"/>
        <v>1000</v>
      </c>
    </row>
    <row r="425" spans="1:13" hidden="1" x14ac:dyDescent="0.35">
      <c r="A425" s="21" t="s">
        <v>1611</v>
      </c>
      <c r="B425" s="31" t="s">
        <v>1827</v>
      </c>
      <c r="C425" s="21" t="s">
        <v>1615</v>
      </c>
      <c r="D425" s="34">
        <v>8886950074498</v>
      </c>
      <c r="E425" s="22" t="s">
        <v>1883</v>
      </c>
      <c r="F425" s="23">
        <v>0.2</v>
      </c>
      <c r="G425" s="26">
        <v>3</v>
      </c>
      <c r="H425" s="25">
        <v>134.1</v>
      </c>
      <c r="I425" s="25">
        <v>150</v>
      </c>
      <c r="J425" s="25">
        <v>150</v>
      </c>
      <c r="K425" s="25">
        <f t="shared" si="42"/>
        <v>402.29999999999995</v>
      </c>
      <c r="L425" s="25">
        <f t="shared" si="43"/>
        <v>450</v>
      </c>
      <c r="M425" s="14">
        <f t="shared" si="44"/>
        <v>450</v>
      </c>
    </row>
    <row r="426" spans="1:13" hidden="1" x14ac:dyDescent="0.35">
      <c r="A426" s="21" t="s">
        <v>1611</v>
      </c>
      <c r="B426" s="31" t="s">
        <v>1827</v>
      </c>
      <c r="C426" s="21" t="s">
        <v>1615</v>
      </c>
      <c r="D426" s="34">
        <v>8886950099477</v>
      </c>
      <c r="E426" s="22" t="s">
        <v>1884</v>
      </c>
      <c r="F426" s="23">
        <v>0.17</v>
      </c>
      <c r="G426" s="26">
        <v>1</v>
      </c>
      <c r="H426" s="25">
        <v>105</v>
      </c>
      <c r="I426" s="25">
        <v>115</v>
      </c>
      <c r="J426" s="25">
        <v>115</v>
      </c>
      <c r="K426" s="25">
        <f t="shared" si="42"/>
        <v>105</v>
      </c>
      <c r="L426" s="25">
        <f t="shared" si="43"/>
        <v>115</v>
      </c>
      <c r="M426" s="14">
        <f t="shared" si="44"/>
        <v>115</v>
      </c>
    </row>
    <row r="427" spans="1:13" hidden="1" x14ac:dyDescent="0.35">
      <c r="A427" s="21" t="s">
        <v>529</v>
      </c>
      <c r="B427" s="31" t="s">
        <v>1827</v>
      </c>
      <c r="C427" s="21" t="s">
        <v>550</v>
      </c>
      <c r="D427" s="34" t="s">
        <v>563</v>
      </c>
      <c r="E427" s="22" t="s">
        <v>558</v>
      </c>
      <c r="F427" s="23">
        <v>0.13</v>
      </c>
      <c r="G427" s="24">
        <v>1</v>
      </c>
      <c r="H427" s="25">
        <v>135.61000000000001</v>
      </c>
      <c r="I427" s="25">
        <v>145</v>
      </c>
      <c r="J427" s="25">
        <v>148</v>
      </c>
      <c r="K427" s="25">
        <f t="shared" si="42"/>
        <v>135.61000000000001</v>
      </c>
      <c r="L427" s="25">
        <f t="shared" si="43"/>
        <v>145</v>
      </c>
      <c r="M427" s="14">
        <f t="shared" si="44"/>
        <v>148</v>
      </c>
    </row>
    <row r="428" spans="1:13" hidden="1" x14ac:dyDescent="0.35">
      <c r="A428" s="21" t="s">
        <v>529</v>
      </c>
      <c r="B428" s="31" t="s">
        <v>1827</v>
      </c>
      <c r="C428" s="21" t="s">
        <v>550</v>
      </c>
      <c r="D428" s="34" t="s">
        <v>561</v>
      </c>
      <c r="E428" s="22" t="s">
        <v>562</v>
      </c>
      <c r="F428" s="23">
        <v>0.13</v>
      </c>
      <c r="G428" s="24">
        <v>4</v>
      </c>
      <c r="H428" s="25">
        <v>134.44999999999999</v>
      </c>
      <c r="I428" s="25">
        <v>145</v>
      </c>
      <c r="J428" s="25">
        <v>148</v>
      </c>
      <c r="K428" s="25">
        <f t="shared" si="42"/>
        <v>537.79999999999995</v>
      </c>
      <c r="L428" s="25">
        <f t="shared" si="43"/>
        <v>580</v>
      </c>
      <c r="M428" s="14">
        <f t="shared" si="44"/>
        <v>592</v>
      </c>
    </row>
    <row r="429" spans="1:13" hidden="1" x14ac:dyDescent="0.35">
      <c r="A429" s="21" t="s">
        <v>529</v>
      </c>
      <c r="B429" s="31" t="s">
        <v>1827</v>
      </c>
      <c r="C429" s="21" t="s">
        <v>550</v>
      </c>
      <c r="D429" s="34" t="s">
        <v>564</v>
      </c>
      <c r="E429" s="22" t="s">
        <v>565</v>
      </c>
      <c r="F429" s="23">
        <v>0.13</v>
      </c>
      <c r="G429" s="24">
        <v>4</v>
      </c>
      <c r="H429" s="25">
        <v>134.44</v>
      </c>
      <c r="I429" s="25">
        <v>145</v>
      </c>
      <c r="J429" s="25">
        <v>148</v>
      </c>
      <c r="K429" s="25">
        <f t="shared" si="42"/>
        <v>537.76</v>
      </c>
      <c r="L429" s="25">
        <f t="shared" si="43"/>
        <v>580</v>
      </c>
      <c r="M429" s="14">
        <f t="shared" si="44"/>
        <v>592</v>
      </c>
    </row>
    <row r="430" spans="1:13" hidden="1" x14ac:dyDescent="0.35">
      <c r="A430" s="21" t="s">
        <v>529</v>
      </c>
      <c r="B430" s="31" t="s">
        <v>1827</v>
      </c>
      <c r="C430" s="21" t="s">
        <v>550</v>
      </c>
      <c r="D430" s="34" t="s">
        <v>551</v>
      </c>
      <c r="E430" s="22" t="s">
        <v>552</v>
      </c>
      <c r="F430" s="23">
        <v>9.8000000000000004E-2</v>
      </c>
      <c r="G430" s="24">
        <v>1</v>
      </c>
      <c r="H430" s="25">
        <v>110.95</v>
      </c>
      <c r="I430" s="25">
        <v>115</v>
      </c>
      <c r="J430" s="25">
        <v>118</v>
      </c>
      <c r="K430" s="25">
        <f t="shared" si="42"/>
        <v>110.95</v>
      </c>
      <c r="L430" s="25">
        <f t="shared" si="43"/>
        <v>115</v>
      </c>
      <c r="M430" s="14">
        <f t="shared" si="44"/>
        <v>118</v>
      </c>
    </row>
    <row r="431" spans="1:13" hidden="1" x14ac:dyDescent="0.35">
      <c r="A431" s="21" t="s">
        <v>529</v>
      </c>
      <c r="B431" s="31" t="s">
        <v>1827</v>
      </c>
      <c r="C431" s="21" t="s">
        <v>550</v>
      </c>
      <c r="D431" s="34" t="s">
        <v>559</v>
      </c>
      <c r="E431" s="22" t="s">
        <v>560</v>
      </c>
      <c r="F431" s="23">
        <v>0.13</v>
      </c>
      <c r="G431" s="24">
        <v>4</v>
      </c>
      <c r="H431" s="25">
        <v>127.9</v>
      </c>
      <c r="I431" s="25">
        <v>145</v>
      </c>
      <c r="J431" s="25">
        <v>148</v>
      </c>
      <c r="K431" s="25">
        <f t="shared" si="42"/>
        <v>511.6</v>
      </c>
      <c r="L431" s="25">
        <f t="shared" si="43"/>
        <v>580</v>
      </c>
      <c r="M431" s="14">
        <f t="shared" si="44"/>
        <v>592</v>
      </c>
    </row>
    <row r="432" spans="1:13" hidden="1" x14ac:dyDescent="0.35">
      <c r="A432" s="21" t="s">
        <v>529</v>
      </c>
      <c r="B432" s="31" t="s">
        <v>1827</v>
      </c>
      <c r="C432" s="21" t="s">
        <v>550</v>
      </c>
      <c r="D432" s="34" t="s">
        <v>557</v>
      </c>
      <c r="E432" s="22" t="s">
        <v>558</v>
      </c>
      <c r="F432" s="23">
        <v>0</v>
      </c>
      <c r="G432" s="24">
        <v>13</v>
      </c>
      <c r="H432" s="25">
        <v>127.9</v>
      </c>
      <c r="I432" s="25">
        <v>145</v>
      </c>
      <c r="J432" s="25">
        <v>148</v>
      </c>
      <c r="K432" s="25">
        <f t="shared" si="42"/>
        <v>1662.7</v>
      </c>
      <c r="L432" s="25">
        <f t="shared" si="43"/>
        <v>1885</v>
      </c>
      <c r="M432" s="14">
        <f t="shared" si="44"/>
        <v>1924</v>
      </c>
    </row>
    <row r="433" spans="1:13" hidden="1" x14ac:dyDescent="0.35">
      <c r="A433" s="21" t="s">
        <v>529</v>
      </c>
      <c r="B433" s="31" t="s">
        <v>1827</v>
      </c>
      <c r="C433" s="21" t="s">
        <v>550</v>
      </c>
      <c r="D433" s="34">
        <v>8886950039381</v>
      </c>
      <c r="E433" s="22" t="s">
        <v>1885</v>
      </c>
      <c r="F433" s="23">
        <v>0.375</v>
      </c>
      <c r="G433" s="24">
        <v>2</v>
      </c>
      <c r="H433" s="25">
        <v>400</v>
      </c>
      <c r="I433" s="25">
        <v>420</v>
      </c>
      <c r="J433" s="25">
        <v>425</v>
      </c>
      <c r="K433" s="25">
        <f t="shared" si="42"/>
        <v>800</v>
      </c>
      <c r="L433" s="25">
        <f t="shared" si="43"/>
        <v>840</v>
      </c>
      <c r="M433" s="14">
        <f t="shared" si="44"/>
        <v>850</v>
      </c>
    </row>
    <row r="434" spans="1:13" hidden="1" x14ac:dyDescent="0.35">
      <c r="A434" s="21" t="s">
        <v>1441</v>
      </c>
      <c r="B434" s="21" t="s">
        <v>1827</v>
      </c>
      <c r="C434" s="21" t="s">
        <v>1503</v>
      </c>
      <c r="D434" s="34" t="s">
        <v>1504</v>
      </c>
      <c r="E434" s="22" t="s">
        <v>1505</v>
      </c>
      <c r="F434" s="23">
        <v>0</v>
      </c>
      <c r="G434" s="24">
        <v>2</v>
      </c>
      <c r="H434" s="25">
        <v>308.54000000000002</v>
      </c>
      <c r="I434" s="25">
        <v>360</v>
      </c>
      <c r="J434" s="25">
        <v>370</v>
      </c>
      <c r="K434" s="25">
        <f t="shared" si="42"/>
        <v>617.08000000000004</v>
      </c>
      <c r="L434" s="25">
        <f t="shared" si="43"/>
        <v>720</v>
      </c>
      <c r="M434" s="14">
        <f t="shared" si="44"/>
        <v>740</v>
      </c>
    </row>
    <row r="435" spans="1:13" hidden="1" x14ac:dyDescent="0.35">
      <c r="A435" s="21" t="s">
        <v>1639</v>
      </c>
      <c r="B435" s="31" t="s">
        <v>1852</v>
      </c>
      <c r="C435" s="21" t="s">
        <v>1693</v>
      </c>
      <c r="D435" s="34" t="s">
        <v>1696</v>
      </c>
      <c r="E435" s="22" t="s">
        <v>1642</v>
      </c>
      <c r="F435" s="23">
        <v>0</v>
      </c>
      <c r="G435" s="26">
        <v>3</v>
      </c>
      <c r="H435" s="25">
        <v>210</v>
      </c>
      <c r="I435" s="25">
        <v>240</v>
      </c>
      <c r="J435" s="25">
        <v>250</v>
      </c>
      <c r="K435" s="25">
        <f t="shared" si="42"/>
        <v>630</v>
      </c>
      <c r="L435" s="25">
        <f t="shared" si="43"/>
        <v>720</v>
      </c>
      <c r="M435" s="14">
        <f t="shared" si="44"/>
        <v>750</v>
      </c>
    </row>
    <row r="436" spans="1:13" hidden="1" x14ac:dyDescent="0.35">
      <c r="A436" s="21" t="s">
        <v>1639</v>
      </c>
      <c r="B436" s="31" t="s">
        <v>1852</v>
      </c>
      <c r="C436" s="21" t="s">
        <v>1693</v>
      </c>
      <c r="D436" s="34" t="s">
        <v>1697</v>
      </c>
      <c r="E436" s="22" t="s">
        <v>1698</v>
      </c>
      <c r="F436" s="23">
        <v>0</v>
      </c>
      <c r="G436" s="26">
        <v>4</v>
      </c>
      <c r="H436" s="25">
        <v>63.8</v>
      </c>
      <c r="I436" s="25">
        <v>80</v>
      </c>
      <c r="J436" s="25">
        <v>80</v>
      </c>
      <c r="K436" s="25">
        <f t="shared" si="42"/>
        <v>255.2</v>
      </c>
      <c r="L436" s="25">
        <f t="shared" si="43"/>
        <v>320</v>
      </c>
      <c r="M436" s="14">
        <f t="shared" si="44"/>
        <v>320</v>
      </c>
    </row>
    <row r="437" spans="1:13" ht="15" hidden="1" customHeight="1" x14ac:dyDescent="0.35">
      <c r="A437" s="21" t="s">
        <v>1639</v>
      </c>
      <c r="B437" s="31" t="s">
        <v>1852</v>
      </c>
      <c r="C437" s="21" t="s">
        <v>1699</v>
      </c>
      <c r="D437" s="34" t="s">
        <v>1700</v>
      </c>
      <c r="E437" s="22" t="s">
        <v>1701</v>
      </c>
      <c r="F437" s="23">
        <v>4.4999999999999998E-2</v>
      </c>
      <c r="G437" s="26">
        <v>2</v>
      </c>
      <c r="H437" s="25">
        <v>260</v>
      </c>
      <c r="I437" s="25">
        <v>290</v>
      </c>
      <c r="J437" s="25">
        <v>290</v>
      </c>
      <c r="K437" s="25">
        <f t="shared" si="42"/>
        <v>520</v>
      </c>
      <c r="L437" s="25">
        <f t="shared" si="43"/>
        <v>580</v>
      </c>
      <c r="M437" s="14">
        <f t="shared" si="44"/>
        <v>580</v>
      </c>
    </row>
    <row r="438" spans="1:13" hidden="1" x14ac:dyDescent="0.35">
      <c r="A438" s="21" t="s">
        <v>1639</v>
      </c>
      <c r="B438" s="31" t="s">
        <v>1855</v>
      </c>
      <c r="C438" s="21" t="s">
        <v>1699</v>
      </c>
      <c r="D438" s="34" t="s">
        <v>1702</v>
      </c>
      <c r="E438" s="22" t="s">
        <v>1703</v>
      </c>
      <c r="F438" s="23">
        <v>0</v>
      </c>
      <c r="G438" s="26">
        <v>2</v>
      </c>
      <c r="H438" s="25">
        <v>280</v>
      </c>
      <c r="I438" s="25">
        <v>320</v>
      </c>
      <c r="J438" s="25">
        <v>320</v>
      </c>
      <c r="K438" s="25">
        <f t="shared" si="42"/>
        <v>560</v>
      </c>
      <c r="L438" s="25">
        <f t="shared" si="43"/>
        <v>640</v>
      </c>
      <c r="M438" s="14">
        <f t="shared" si="44"/>
        <v>640</v>
      </c>
    </row>
    <row r="439" spans="1:13" hidden="1" x14ac:dyDescent="0.35">
      <c r="A439" s="21" t="s">
        <v>691</v>
      </c>
      <c r="B439" s="21" t="s">
        <v>1835</v>
      </c>
      <c r="C439" s="21" t="s">
        <v>692</v>
      </c>
      <c r="D439" s="34" t="s">
        <v>703</v>
      </c>
      <c r="E439" s="22" t="s">
        <v>704</v>
      </c>
      <c r="F439" s="23">
        <v>0.5</v>
      </c>
      <c r="G439" s="26">
        <v>1</v>
      </c>
      <c r="H439" s="25">
        <v>179.4</v>
      </c>
      <c r="I439" s="25">
        <v>200</v>
      </c>
      <c r="J439" s="25">
        <v>200</v>
      </c>
      <c r="K439" s="25">
        <f t="shared" si="42"/>
        <v>179.4</v>
      </c>
      <c r="L439" s="25">
        <f t="shared" si="43"/>
        <v>200</v>
      </c>
      <c r="M439" s="14">
        <f t="shared" si="44"/>
        <v>200</v>
      </c>
    </row>
    <row r="440" spans="1:13" hidden="1" x14ac:dyDescent="0.35">
      <c r="A440" s="21" t="s">
        <v>691</v>
      </c>
      <c r="B440" s="21" t="s">
        <v>1835</v>
      </c>
      <c r="C440" s="21" t="s">
        <v>692</v>
      </c>
      <c r="D440" s="34" t="s">
        <v>693</v>
      </c>
      <c r="E440" s="22" t="s">
        <v>694</v>
      </c>
      <c r="F440" s="23">
        <v>0.25</v>
      </c>
      <c r="G440" s="26">
        <v>2</v>
      </c>
      <c r="H440" s="25">
        <v>89.75</v>
      </c>
      <c r="I440" s="25">
        <v>95</v>
      </c>
      <c r="J440" s="25">
        <v>100</v>
      </c>
      <c r="K440" s="25">
        <f t="shared" si="42"/>
        <v>179.5</v>
      </c>
      <c r="L440" s="25">
        <f t="shared" si="43"/>
        <v>190</v>
      </c>
      <c r="M440" s="14">
        <f t="shared" si="44"/>
        <v>200</v>
      </c>
    </row>
    <row r="441" spans="1:13" hidden="1" x14ac:dyDescent="0.35">
      <c r="A441" s="21" t="s">
        <v>1713</v>
      </c>
      <c r="B441" s="21" t="s">
        <v>1835</v>
      </c>
      <c r="C441" s="21" t="s">
        <v>1714</v>
      </c>
      <c r="D441" s="34" t="s">
        <v>1719</v>
      </c>
      <c r="E441" s="22" t="s">
        <v>1720</v>
      </c>
      <c r="F441" s="23">
        <v>0.125</v>
      </c>
      <c r="G441" s="26">
        <v>5</v>
      </c>
      <c r="H441" s="25">
        <v>88.92</v>
      </c>
      <c r="I441" s="25">
        <v>100</v>
      </c>
      <c r="J441" s="25">
        <v>100</v>
      </c>
      <c r="K441" s="25">
        <f t="shared" ref="K441:K464" si="45">H441*G441</f>
        <v>444.6</v>
      </c>
      <c r="L441" s="25">
        <f t="shared" ref="L441:L464" si="46">I441*G441</f>
        <v>500</v>
      </c>
      <c r="M441" s="14">
        <f t="shared" ref="M441:M464" si="47">J441*G441</f>
        <v>500</v>
      </c>
    </row>
    <row r="442" spans="1:13" hidden="1" x14ac:dyDescent="0.35">
      <c r="A442" s="21" t="s">
        <v>1713</v>
      </c>
      <c r="B442" s="21" t="s">
        <v>1835</v>
      </c>
      <c r="C442" s="21" t="s">
        <v>1714</v>
      </c>
      <c r="D442" s="34" t="s">
        <v>1717</v>
      </c>
      <c r="E442" s="22" t="s">
        <v>1718</v>
      </c>
      <c r="F442" s="23">
        <v>0</v>
      </c>
      <c r="G442" s="26">
        <v>6</v>
      </c>
      <c r="H442" s="25">
        <v>23.88</v>
      </c>
      <c r="I442" s="25">
        <v>25</v>
      </c>
      <c r="J442" s="25">
        <v>25</v>
      </c>
      <c r="K442" s="25">
        <f t="shared" si="45"/>
        <v>143.28</v>
      </c>
      <c r="L442" s="25">
        <f t="shared" si="46"/>
        <v>150</v>
      </c>
      <c r="M442" s="14">
        <f t="shared" si="47"/>
        <v>150</v>
      </c>
    </row>
    <row r="443" spans="1:13" ht="15" hidden="1" customHeight="1" x14ac:dyDescent="0.35">
      <c r="A443" s="21" t="s">
        <v>1713</v>
      </c>
      <c r="B443" s="31" t="s">
        <v>291</v>
      </c>
      <c r="C443" s="21" t="s">
        <v>1721</v>
      </c>
      <c r="D443" s="34" t="s">
        <v>1722</v>
      </c>
      <c r="E443" s="22" t="s">
        <v>1723</v>
      </c>
      <c r="F443" s="23">
        <v>0</v>
      </c>
      <c r="G443" s="26">
        <v>1</v>
      </c>
      <c r="H443" s="25">
        <v>65</v>
      </c>
      <c r="I443" s="25">
        <v>80</v>
      </c>
      <c r="J443" s="25">
        <v>80</v>
      </c>
      <c r="K443" s="25">
        <f t="shared" si="45"/>
        <v>65</v>
      </c>
      <c r="L443" s="25">
        <f t="shared" si="46"/>
        <v>80</v>
      </c>
      <c r="M443" s="14">
        <f t="shared" si="47"/>
        <v>80</v>
      </c>
    </row>
    <row r="444" spans="1:13" hidden="1" x14ac:dyDescent="0.35">
      <c r="A444" s="21" t="s">
        <v>1713</v>
      </c>
      <c r="B444" s="31" t="s">
        <v>291</v>
      </c>
      <c r="C444" s="21" t="s">
        <v>1721</v>
      </c>
      <c r="D444" s="34" t="s">
        <v>1724</v>
      </c>
      <c r="E444" s="22" t="s">
        <v>1725</v>
      </c>
      <c r="F444" s="23">
        <v>0</v>
      </c>
      <c r="G444" s="26">
        <v>4</v>
      </c>
      <c r="H444" s="25">
        <v>185</v>
      </c>
      <c r="I444" s="25">
        <v>220</v>
      </c>
      <c r="J444" s="25">
        <v>240</v>
      </c>
      <c r="K444" s="25">
        <f t="shared" si="45"/>
        <v>740</v>
      </c>
      <c r="L444" s="25">
        <f t="shared" si="46"/>
        <v>880</v>
      </c>
      <c r="M444" s="14">
        <f t="shared" si="47"/>
        <v>960</v>
      </c>
    </row>
    <row r="445" spans="1:13" hidden="1" x14ac:dyDescent="0.35">
      <c r="A445" s="21" t="s">
        <v>1713</v>
      </c>
      <c r="B445" s="31" t="s">
        <v>291</v>
      </c>
      <c r="C445" s="21" t="s">
        <v>1721</v>
      </c>
      <c r="D445" s="34" t="s">
        <v>1726</v>
      </c>
      <c r="E445" s="22" t="s">
        <v>1727</v>
      </c>
      <c r="F445" s="23">
        <v>0</v>
      </c>
      <c r="G445" s="26">
        <v>7</v>
      </c>
      <c r="H445" s="25">
        <v>147</v>
      </c>
      <c r="I445" s="25">
        <v>180</v>
      </c>
      <c r="J445" s="25">
        <v>200</v>
      </c>
      <c r="K445" s="25">
        <f t="shared" si="45"/>
        <v>1029</v>
      </c>
      <c r="L445" s="25">
        <f t="shared" si="46"/>
        <v>1260</v>
      </c>
      <c r="M445" s="14">
        <f t="shared" si="47"/>
        <v>1400</v>
      </c>
    </row>
    <row r="446" spans="1:13" hidden="1" x14ac:dyDescent="0.35">
      <c r="A446" s="21" t="s">
        <v>1713</v>
      </c>
      <c r="B446" s="31" t="s">
        <v>291</v>
      </c>
      <c r="C446" s="21" t="s">
        <v>1721</v>
      </c>
      <c r="D446" s="34" t="s">
        <v>1728</v>
      </c>
      <c r="E446" s="22" t="s">
        <v>1729</v>
      </c>
      <c r="F446" s="23">
        <v>0</v>
      </c>
      <c r="G446" s="26">
        <v>15</v>
      </c>
      <c r="H446" s="25">
        <v>125</v>
      </c>
      <c r="I446" s="25">
        <v>160</v>
      </c>
      <c r="J446" s="25">
        <v>160</v>
      </c>
      <c r="K446" s="25">
        <f t="shared" si="45"/>
        <v>1875</v>
      </c>
      <c r="L446" s="25">
        <f t="shared" si="46"/>
        <v>2400</v>
      </c>
      <c r="M446" s="14">
        <f t="shared" si="47"/>
        <v>2400</v>
      </c>
    </row>
    <row r="447" spans="1:13" hidden="1" x14ac:dyDescent="0.35">
      <c r="A447" s="21" t="s">
        <v>1713</v>
      </c>
      <c r="B447" s="31" t="s">
        <v>1730</v>
      </c>
      <c r="C447" s="21" t="s">
        <v>1731</v>
      </c>
      <c r="D447" s="34" t="s">
        <v>1732</v>
      </c>
      <c r="E447" s="22" t="s">
        <v>1733</v>
      </c>
      <c r="F447" s="23">
        <v>8.5000000000000006E-2</v>
      </c>
      <c r="G447" s="26" t="s">
        <v>1889</v>
      </c>
      <c r="H447" s="25">
        <v>166.04300000000001</v>
      </c>
      <c r="I447" s="25">
        <v>180</v>
      </c>
      <c r="J447" s="25">
        <v>180</v>
      </c>
      <c r="K447" s="25" t="e">
        <f t="shared" si="45"/>
        <v>#VALUE!</v>
      </c>
      <c r="L447" s="25" t="e">
        <f t="shared" si="46"/>
        <v>#VALUE!</v>
      </c>
      <c r="M447" s="14" t="e">
        <f t="shared" si="47"/>
        <v>#VALUE!</v>
      </c>
    </row>
    <row r="448" spans="1:13" hidden="1" x14ac:dyDescent="0.35">
      <c r="A448" s="21" t="s">
        <v>1713</v>
      </c>
      <c r="B448" s="31" t="s">
        <v>1730</v>
      </c>
      <c r="C448" s="21" t="s">
        <v>1731</v>
      </c>
      <c r="D448" s="34" t="s">
        <v>1734</v>
      </c>
      <c r="E448" s="22" t="s">
        <v>1735</v>
      </c>
      <c r="F448" s="23">
        <v>0.17</v>
      </c>
      <c r="G448" s="26">
        <v>4</v>
      </c>
      <c r="H448" s="25">
        <v>329.07</v>
      </c>
      <c r="I448" s="25">
        <v>350</v>
      </c>
      <c r="J448" s="25">
        <v>360</v>
      </c>
      <c r="K448" s="25">
        <f t="shared" si="45"/>
        <v>1316.28</v>
      </c>
      <c r="L448" s="25">
        <f t="shared" si="46"/>
        <v>1400</v>
      </c>
      <c r="M448" s="14">
        <f t="shared" si="47"/>
        <v>1440</v>
      </c>
    </row>
    <row r="449" spans="1:13" hidden="1" x14ac:dyDescent="0.35">
      <c r="A449" s="21" t="s">
        <v>1713</v>
      </c>
      <c r="B449" s="31" t="s">
        <v>1857</v>
      </c>
      <c r="C449" s="21" t="s">
        <v>1736</v>
      </c>
      <c r="D449" s="34" t="s">
        <v>1737</v>
      </c>
      <c r="E449" s="22" t="s">
        <v>1738</v>
      </c>
      <c r="F449" s="23">
        <v>0.8</v>
      </c>
      <c r="G449" s="26">
        <v>1</v>
      </c>
      <c r="H449" s="25">
        <v>410</v>
      </c>
      <c r="I449" s="25">
        <v>480</v>
      </c>
      <c r="J449" s="25">
        <v>550</v>
      </c>
      <c r="K449" s="25">
        <f>H449*G449</f>
        <v>410</v>
      </c>
      <c r="L449" s="25">
        <f>I449*G449</f>
        <v>480</v>
      </c>
      <c r="M449" s="14">
        <f t="shared" si="47"/>
        <v>550</v>
      </c>
    </row>
    <row r="450" spans="1:13" hidden="1" x14ac:dyDescent="0.35">
      <c r="A450" s="21" t="s">
        <v>1713</v>
      </c>
      <c r="B450" s="31" t="s">
        <v>1857</v>
      </c>
      <c r="C450" s="21" t="s">
        <v>1736</v>
      </c>
      <c r="D450" s="34" t="s">
        <v>1739</v>
      </c>
      <c r="E450" s="22" t="s">
        <v>1740</v>
      </c>
      <c r="F450" s="23">
        <v>5.0000000000000001E-3</v>
      </c>
      <c r="G450" s="26">
        <v>17</v>
      </c>
      <c r="H450" s="25">
        <v>18.059999999999999</v>
      </c>
      <c r="I450" s="25">
        <v>25</v>
      </c>
      <c r="J450" s="25">
        <v>25</v>
      </c>
      <c r="K450" s="25">
        <f>H450*G450</f>
        <v>307.02</v>
      </c>
      <c r="L450" s="25">
        <f>I450*G450</f>
        <v>425</v>
      </c>
      <c r="M450" s="14">
        <f t="shared" si="47"/>
        <v>425</v>
      </c>
    </row>
    <row r="451" spans="1:13" hidden="1" x14ac:dyDescent="0.35">
      <c r="A451" s="21" t="s">
        <v>1713</v>
      </c>
      <c r="B451" s="31" t="s">
        <v>1741</v>
      </c>
      <c r="C451" s="21" t="s">
        <v>1741</v>
      </c>
      <c r="D451" s="34" t="s">
        <v>1742</v>
      </c>
      <c r="E451" s="22" t="s">
        <v>1743</v>
      </c>
      <c r="F451" s="23">
        <v>0.9</v>
      </c>
      <c r="G451" s="26">
        <v>1</v>
      </c>
      <c r="H451" s="25">
        <v>1574</v>
      </c>
      <c r="I451" s="25">
        <v>1700</v>
      </c>
      <c r="J451" s="25">
        <v>1700</v>
      </c>
      <c r="K451" s="25">
        <f t="shared" si="45"/>
        <v>1574</v>
      </c>
      <c r="L451" s="25">
        <f t="shared" si="46"/>
        <v>1700</v>
      </c>
      <c r="M451" s="14">
        <f t="shared" si="47"/>
        <v>1700</v>
      </c>
    </row>
    <row r="452" spans="1:13" hidden="1" x14ac:dyDescent="0.35">
      <c r="A452" s="21" t="s">
        <v>1713</v>
      </c>
      <c r="B452" s="31" t="s">
        <v>1858</v>
      </c>
      <c r="C452" s="21" t="s">
        <v>1756</v>
      </c>
      <c r="D452" s="34" t="s">
        <v>1765</v>
      </c>
      <c r="E452" s="22" t="s">
        <v>1766</v>
      </c>
      <c r="F452" s="23">
        <v>8.5000000000000006E-2</v>
      </c>
      <c r="G452" s="26">
        <v>2</v>
      </c>
      <c r="H452" s="25">
        <v>166.5</v>
      </c>
      <c r="I452" s="25">
        <v>190</v>
      </c>
      <c r="J452" s="25">
        <v>190</v>
      </c>
      <c r="K452" s="25">
        <f t="shared" ref="K452:K459" si="48">H452*G452</f>
        <v>333</v>
      </c>
      <c r="L452" s="25">
        <f t="shared" ref="L452:L459" si="49">I452*G452</f>
        <v>380</v>
      </c>
      <c r="M452" s="14">
        <f t="shared" ref="M452:M459" si="50">J452*G452</f>
        <v>380</v>
      </c>
    </row>
    <row r="453" spans="1:13" hidden="1" x14ac:dyDescent="0.35">
      <c r="A453" s="21" t="s">
        <v>1713</v>
      </c>
      <c r="B453" s="31" t="s">
        <v>1858</v>
      </c>
      <c r="C453" s="21" t="s">
        <v>1756</v>
      </c>
      <c r="D453" s="34" t="s">
        <v>1773</v>
      </c>
      <c r="E453" s="22" t="s">
        <v>1774</v>
      </c>
      <c r="F453" s="23">
        <v>2.7E-2</v>
      </c>
      <c r="G453" s="26">
        <v>7</v>
      </c>
      <c r="H453" s="25">
        <v>46.17</v>
      </c>
      <c r="I453" s="25">
        <v>50</v>
      </c>
      <c r="J453" s="25">
        <v>50</v>
      </c>
      <c r="K453" s="25">
        <f t="shared" si="48"/>
        <v>323.19</v>
      </c>
      <c r="L453" s="25">
        <f t="shared" si="49"/>
        <v>350</v>
      </c>
      <c r="M453" s="14">
        <f t="shared" si="50"/>
        <v>350</v>
      </c>
    </row>
    <row r="454" spans="1:13" hidden="1" x14ac:dyDescent="0.35">
      <c r="A454" s="21" t="s">
        <v>1713</v>
      </c>
      <c r="B454" s="31" t="s">
        <v>1858</v>
      </c>
      <c r="C454" s="21" t="s">
        <v>1756</v>
      </c>
      <c r="D454" s="34" t="s">
        <v>1775</v>
      </c>
      <c r="E454" s="22" t="s">
        <v>1776</v>
      </c>
      <c r="F454" s="23">
        <v>1.4E-2</v>
      </c>
      <c r="G454" s="26">
        <v>7</v>
      </c>
      <c r="H454" s="25">
        <v>27.72</v>
      </c>
      <c r="I454" s="25">
        <v>30</v>
      </c>
      <c r="J454" s="25">
        <v>30</v>
      </c>
      <c r="K454" s="25">
        <f t="shared" si="48"/>
        <v>194.04</v>
      </c>
      <c r="L454" s="25">
        <f t="shared" si="49"/>
        <v>210</v>
      </c>
      <c r="M454" s="14">
        <f t="shared" si="50"/>
        <v>210</v>
      </c>
    </row>
    <row r="455" spans="1:13" hidden="1" x14ac:dyDescent="0.35">
      <c r="A455" s="21" t="s">
        <v>1713</v>
      </c>
      <c r="B455" s="31" t="s">
        <v>1858</v>
      </c>
      <c r="C455" s="21" t="s">
        <v>1756</v>
      </c>
      <c r="D455" s="34" t="s">
        <v>1777</v>
      </c>
      <c r="E455" s="22" t="s">
        <v>1778</v>
      </c>
      <c r="F455" s="23">
        <v>0.05</v>
      </c>
      <c r="G455" s="26">
        <v>4</v>
      </c>
      <c r="H455" s="25">
        <v>89.2</v>
      </c>
      <c r="I455" s="25">
        <v>99</v>
      </c>
      <c r="J455" s="25">
        <v>99</v>
      </c>
      <c r="K455" s="25">
        <f t="shared" si="48"/>
        <v>356.8</v>
      </c>
      <c r="L455" s="25">
        <f t="shared" si="49"/>
        <v>396</v>
      </c>
      <c r="M455" s="14">
        <f t="shared" si="50"/>
        <v>396</v>
      </c>
    </row>
    <row r="456" spans="1:13" hidden="1" x14ac:dyDescent="0.35">
      <c r="A456" s="21" t="s">
        <v>1713</v>
      </c>
      <c r="B456" s="31" t="s">
        <v>1858</v>
      </c>
      <c r="C456" s="21" t="s">
        <v>1756</v>
      </c>
      <c r="D456" s="34" t="s">
        <v>1785</v>
      </c>
      <c r="E456" s="22" t="s">
        <v>1786</v>
      </c>
      <c r="F456" s="23">
        <v>0.35</v>
      </c>
      <c r="G456" s="26">
        <v>1</v>
      </c>
      <c r="H456" s="25">
        <v>662.33</v>
      </c>
      <c r="I456" s="25">
        <v>700</v>
      </c>
      <c r="J456" s="25">
        <v>720</v>
      </c>
      <c r="K456" s="25">
        <f t="shared" si="48"/>
        <v>662.33</v>
      </c>
      <c r="L456" s="25">
        <f t="shared" si="49"/>
        <v>700</v>
      </c>
      <c r="M456" s="14">
        <f t="shared" si="50"/>
        <v>720</v>
      </c>
    </row>
    <row r="457" spans="1:13" hidden="1" x14ac:dyDescent="0.35">
      <c r="A457" s="21" t="s">
        <v>1713</v>
      </c>
      <c r="B457" s="31" t="s">
        <v>1858</v>
      </c>
      <c r="C457" s="21" t="s">
        <v>1756</v>
      </c>
      <c r="D457" s="34" t="s">
        <v>1796</v>
      </c>
      <c r="E457" s="22" t="s">
        <v>1768</v>
      </c>
      <c r="F457" s="23">
        <v>0.17</v>
      </c>
      <c r="G457" s="26">
        <v>2</v>
      </c>
      <c r="H457" s="25">
        <v>350.67</v>
      </c>
      <c r="I457" s="25">
        <v>370</v>
      </c>
      <c r="J457" s="25">
        <v>380</v>
      </c>
      <c r="K457" s="25">
        <f t="shared" si="48"/>
        <v>701.34</v>
      </c>
      <c r="L457" s="25">
        <f t="shared" si="49"/>
        <v>740</v>
      </c>
      <c r="M457" s="14">
        <f t="shared" si="50"/>
        <v>760</v>
      </c>
    </row>
    <row r="458" spans="1:13" hidden="1" x14ac:dyDescent="0.35">
      <c r="A458" s="21" t="s">
        <v>1713</v>
      </c>
      <c r="B458" s="31" t="s">
        <v>1858</v>
      </c>
      <c r="C458" s="21" t="s">
        <v>1756</v>
      </c>
      <c r="D458" s="34" t="s">
        <v>1799</v>
      </c>
      <c r="E458" s="22" t="s">
        <v>1800</v>
      </c>
      <c r="F458" s="23">
        <v>0.06</v>
      </c>
      <c r="G458" s="26">
        <v>0</v>
      </c>
      <c r="H458" s="25">
        <v>225</v>
      </c>
      <c r="I458" s="25">
        <v>250</v>
      </c>
      <c r="J458" s="25">
        <v>250</v>
      </c>
      <c r="K458" s="25">
        <f t="shared" si="48"/>
        <v>0</v>
      </c>
      <c r="L458" s="25">
        <f t="shared" si="49"/>
        <v>0</v>
      </c>
      <c r="M458" s="14">
        <f t="shared" si="50"/>
        <v>0</v>
      </c>
    </row>
    <row r="459" spans="1:13" hidden="1" x14ac:dyDescent="0.35">
      <c r="A459" s="21" t="s">
        <v>1713</v>
      </c>
      <c r="B459" s="31" t="s">
        <v>1858</v>
      </c>
      <c r="C459" s="21" t="s">
        <v>1756</v>
      </c>
      <c r="D459" s="34" t="s">
        <v>1807</v>
      </c>
      <c r="E459" s="22" t="s">
        <v>1808</v>
      </c>
      <c r="F459" s="23">
        <v>0.43</v>
      </c>
      <c r="G459" s="26">
        <v>22</v>
      </c>
      <c r="H459" s="25">
        <v>752.5</v>
      </c>
      <c r="I459" s="25">
        <v>820</v>
      </c>
      <c r="J459" s="25">
        <v>900</v>
      </c>
      <c r="K459" s="25">
        <f t="shared" si="48"/>
        <v>16555</v>
      </c>
      <c r="L459" s="25">
        <f t="shared" si="49"/>
        <v>18040</v>
      </c>
      <c r="M459" s="14">
        <f t="shared" si="50"/>
        <v>19800</v>
      </c>
    </row>
    <row r="460" spans="1:13" ht="18.75" hidden="1" customHeight="1" x14ac:dyDescent="0.35">
      <c r="A460" s="21" t="s">
        <v>938</v>
      </c>
      <c r="B460" s="21" t="s">
        <v>938</v>
      </c>
      <c r="C460" s="21" t="s">
        <v>1871</v>
      </c>
      <c r="D460" s="36">
        <v>8964003820282</v>
      </c>
      <c r="E460" s="22" t="s">
        <v>1872</v>
      </c>
      <c r="F460" s="23">
        <v>0.06</v>
      </c>
      <c r="G460" s="24">
        <v>1</v>
      </c>
      <c r="H460" s="25">
        <v>120</v>
      </c>
      <c r="I460" s="25">
        <v>180</v>
      </c>
      <c r="J460" s="25">
        <v>200</v>
      </c>
      <c r="K460" s="25">
        <f t="shared" si="45"/>
        <v>120</v>
      </c>
      <c r="L460" s="25">
        <f t="shared" si="46"/>
        <v>180</v>
      </c>
      <c r="M460" s="14">
        <f t="shared" si="47"/>
        <v>200</v>
      </c>
    </row>
    <row r="461" spans="1:13" ht="24" hidden="1" customHeight="1" x14ac:dyDescent="0.35">
      <c r="A461" s="21" t="s">
        <v>938</v>
      </c>
      <c r="B461" s="21" t="s">
        <v>938</v>
      </c>
      <c r="C461" s="21" t="s">
        <v>1873</v>
      </c>
      <c r="D461" s="36">
        <v>8964003520275</v>
      </c>
      <c r="E461" s="22" t="s">
        <v>1873</v>
      </c>
      <c r="F461" s="23">
        <v>0.06</v>
      </c>
      <c r="G461" s="24">
        <v>1</v>
      </c>
      <c r="H461" s="25">
        <v>120</v>
      </c>
      <c r="I461" s="25">
        <v>180</v>
      </c>
      <c r="J461" s="25">
        <v>200</v>
      </c>
      <c r="K461" s="25">
        <f t="shared" si="45"/>
        <v>120</v>
      </c>
      <c r="L461" s="25">
        <f t="shared" si="46"/>
        <v>180</v>
      </c>
      <c r="M461" s="14">
        <f t="shared" si="47"/>
        <v>200</v>
      </c>
    </row>
    <row r="462" spans="1:13" ht="12" hidden="1" customHeight="1" x14ac:dyDescent="0.35">
      <c r="A462" s="21" t="s">
        <v>938</v>
      </c>
      <c r="B462" s="31" t="s">
        <v>1842</v>
      </c>
      <c r="C462" s="21" t="s">
        <v>997</v>
      </c>
      <c r="D462" s="36">
        <v>6009679062405</v>
      </c>
      <c r="E462" s="22" t="s">
        <v>1870</v>
      </c>
      <c r="F462" s="23">
        <v>5.7000000000000002E-2</v>
      </c>
      <c r="G462" s="24">
        <v>1</v>
      </c>
      <c r="H462" s="25">
        <v>120</v>
      </c>
      <c r="I462" s="25">
        <v>150</v>
      </c>
      <c r="J462" s="25">
        <v>170</v>
      </c>
      <c r="K462" s="25">
        <f t="shared" si="45"/>
        <v>120</v>
      </c>
      <c r="L462" s="25">
        <f t="shared" si="46"/>
        <v>150</v>
      </c>
      <c r="M462" s="14">
        <f t="shared" si="47"/>
        <v>170</v>
      </c>
    </row>
    <row r="463" spans="1:13" ht="12" hidden="1" customHeight="1" x14ac:dyDescent="0.35">
      <c r="A463" s="21" t="s">
        <v>938</v>
      </c>
      <c r="B463" s="31" t="s">
        <v>1842</v>
      </c>
      <c r="C463" s="21" t="s">
        <v>1063</v>
      </c>
      <c r="D463" s="36">
        <v>8964002548569</v>
      </c>
      <c r="E463" s="22" t="s">
        <v>1094</v>
      </c>
      <c r="F463" s="23">
        <v>0.1</v>
      </c>
      <c r="G463" s="26">
        <v>2</v>
      </c>
      <c r="H463" s="25">
        <v>201</v>
      </c>
      <c r="I463" s="25">
        <v>250</v>
      </c>
      <c r="J463" s="25">
        <v>260</v>
      </c>
      <c r="K463" s="25">
        <f t="shared" si="45"/>
        <v>402</v>
      </c>
      <c r="L463" s="25">
        <f t="shared" si="46"/>
        <v>500</v>
      </c>
      <c r="M463" s="14">
        <f t="shared" si="47"/>
        <v>520</v>
      </c>
    </row>
    <row r="464" spans="1:13" ht="12" hidden="1" customHeight="1" x14ac:dyDescent="0.35">
      <c r="A464" s="21" t="s">
        <v>938</v>
      </c>
      <c r="B464" s="31" t="s">
        <v>1842</v>
      </c>
      <c r="C464" s="21" t="s">
        <v>1063</v>
      </c>
      <c r="D464" s="36">
        <v>8964002548545</v>
      </c>
      <c r="E464" s="22" t="s">
        <v>1874</v>
      </c>
      <c r="F464" s="23">
        <v>0.1</v>
      </c>
      <c r="G464" s="26">
        <v>2</v>
      </c>
      <c r="H464" s="25">
        <v>201</v>
      </c>
      <c r="I464" s="25">
        <v>250</v>
      </c>
      <c r="J464" s="25">
        <v>260</v>
      </c>
      <c r="K464" s="25">
        <f t="shared" si="45"/>
        <v>402</v>
      </c>
      <c r="L464" s="25">
        <f t="shared" si="46"/>
        <v>500</v>
      </c>
      <c r="M464" s="14">
        <f t="shared" si="47"/>
        <v>520</v>
      </c>
    </row>
    <row r="465" spans="7:13" hidden="1" x14ac:dyDescent="0.35">
      <c r="G465">
        <v>0</v>
      </c>
      <c r="K465" s="9" t="e">
        <f>SUM(K12:K464)</f>
        <v>#VALUE!</v>
      </c>
      <c r="L465" s="9" t="e">
        <f>SUM(L12:L464)</f>
        <v>#VALUE!</v>
      </c>
      <c r="M465" s="9" t="e">
        <f>SUM(M12:M464)</f>
        <v>#VALUE!</v>
      </c>
    </row>
  </sheetData>
  <autoFilter ref="A11:M465" xr:uid="{00000000-0009-0000-0000-000002000000}">
    <filterColumn colId="1">
      <filters>
        <filter val="BAKE PARLER"/>
      </filters>
    </filterColumn>
    <sortState xmlns:xlrd2="http://schemas.microsoft.com/office/spreadsheetml/2017/richdata2" ref="A211:M286">
      <sortCondition ref="C11:C461"/>
    </sortState>
  </autoFilter>
  <mergeCells count="6">
    <mergeCell ref="C2:E4"/>
    <mergeCell ref="K3:L3"/>
    <mergeCell ref="G6:G8"/>
    <mergeCell ref="H6:H9"/>
    <mergeCell ref="I6:I9"/>
    <mergeCell ref="C7:E7"/>
  </mergeCells>
  <pageMargins left="0" right="0.25" top="0.25" bottom="0.25" header="0.25" footer="0.25"/>
  <pageSetup paperSize="5"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3</vt:i4>
      </vt:variant>
    </vt:vector>
  </HeadingPairs>
  <TitlesOfParts>
    <vt:vector size="3" baseType="lpstr">
      <vt:lpstr>stock_in_hand</vt:lpstr>
      <vt:lpstr>PIVOT TABLE</vt:lpstr>
      <vt:lpstr>stock_in_hand (2)</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MULTAN MART</dc:creator>
  <cp:lastModifiedBy>Dell</cp:lastModifiedBy>
  <dcterms:created xsi:type="dcterms:W3CDTF">2026-06-06T15:15:13Z</dcterms:created>
  <dcterms:modified xsi:type="dcterms:W3CDTF">2026-07-31T21:26:59Z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